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inyaKamnoed(Contr\Desktop\VS Code\APM SAP Plan\"/>
    </mc:Choice>
  </mc:AlternateContent>
  <xr:revisionPtr revIDLastSave="0" documentId="13_ncr:1_{5B67E0F0-C24A-47CF-84EB-A1B76A43641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AP Timeline" sheetId="1" r:id="rId1"/>
    <sheet name="APM Plan &amp; F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54" i="2" l="1"/>
  <c r="CU54" i="2"/>
  <c r="CQ54" i="2"/>
  <c r="CM54" i="2"/>
  <c r="CH54" i="2"/>
  <c r="CD54" i="2"/>
  <c r="BZ54" i="2"/>
  <c r="BU54" i="2"/>
  <c r="BQ54" i="2"/>
  <c r="BL54" i="2"/>
  <c r="BH54" i="2"/>
  <c r="BD54" i="2"/>
  <c r="AZ54" i="2"/>
  <c r="AU54" i="2"/>
  <c r="AQ54" i="2"/>
  <c r="AM54" i="2"/>
  <c r="AH54" i="2"/>
  <c r="AD54" i="2"/>
  <c r="Y54" i="2"/>
  <c r="U54" i="2"/>
  <c r="Q54" i="2"/>
  <c r="L54" i="2"/>
  <c r="K54" i="2"/>
  <c r="H33" i="2"/>
  <c r="H30" i="2"/>
  <c r="H28" i="2"/>
  <c r="H26" i="2"/>
  <c r="H23" i="2"/>
  <c r="H21" i="2"/>
  <c r="H19" i="2"/>
  <c r="H16" i="2"/>
  <c r="H14" i="2"/>
  <c r="H12" i="2"/>
  <c r="H10" i="2"/>
  <c r="H7" i="2"/>
  <c r="D23" i="1"/>
  <c r="E22" i="1"/>
  <c r="D22" i="1"/>
  <c r="F22" i="1" s="1"/>
  <c r="C22" i="1"/>
  <c r="F20" i="1"/>
  <c r="E20" i="1"/>
  <c r="D20" i="1"/>
  <c r="C20" i="1"/>
  <c r="E19" i="1"/>
  <c r="D19" i="1"/>
  <c r="F19" i="1" s="1"/>
  <c r="C19" i="1"/>
  <c r="F18" i="1"/>
  <c r="E18" i="1"/>
  <c r="D18" i="1"/>
  <c r="C18" i="1"/>
  <c r="E16" i="1"/>
  <c r="D16" i="1"/>
  <c r="F16" i="1" s="1"/>
  <c r="C16" i="1"/>
  <c r="F15" i="1"/>
  <c r="E15" i="1"/>
  <c r="D15" i="1"/>
  <c r="C15" i="1"/>
  <c r="E14" i="1"/>
  <c r="D14" i="1"/>
  <c r="F14" i="1" s="1"/>
  <c r="C14" i="1"/>
  <c r="F12" i="1"/>
  <c r="E12" i="1"/>
  <c r="D12" i="1"/>
  <c r="C12" i="1"/>
  <c r="E11" i="1"/>
  <c r="D11" i="1"/>
  <c r="F11" i="1" s="1"/>
  <c r="C11" i="1"/>
  <c r="F10" i="1"/>
  <c r="E10" i="1"/>
  <c r="D10" i="1"/>
  <c r="C10" i="1"/>
  <c r="E9" i="1"/>
  <c r="D9" i="1"/>
  <c r="F9" i="1" s="1"/>
  <c r="C9" i="1"/>
  <c r="F7" i="1"/>
  <c r="E7" i="1"/>
  <c r="D7" i="1"/>
  <c r="C7" i="1"/>
</calcChain>
</file>

<file path=xl/sharedStrings.xml><?xml version="1.0" encoding="utf-8"?>
<sst xmlns="http://schemas.openxmlformats.org/spreadsheetml/2006/main" count="221" uniqueCount="117">
  <si>
    <t>APM - SAP Activity &amp; Support Plan  |  SAP Timeline (Weekly)</t>
  </si>
  <si>
    <t>SAP schedule view for SAP-only stakeholders - read-only: dates/status LINK from the 'APM Plan &amp; FTE' tab (edit them there, this view updates automatically) | orange header + gray band = current week; red block = Go-Live week | AS OF 27 AUG 2026 - SAP Go-Live 1 Jul 2027</t>
  </si>
  <si>
    <t>Phase:</t>
  </si>
  <si>
    <t>A</t>
  </si>
  <si>
    <t>B</t>
  </si>
  <si>
    <t>C</t>
  </si>
  <si>
    <t>D</t>
  </si>
  <si>
    <t>E</t>
  </si>
  <si>
    <t>No required info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</si>
  <si>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</si>
  <si>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</si>
  <si>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</si>
  <si>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</si>
  <si>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</si>
  <si>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</si>
  <si>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</si>
  <si>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</si>
  <si>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</si>
  <si>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</si>
  <si>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</si>
  <si>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 27</t>
  </si>
  <si>
    <t>#</t>
  </si>
  <si>
    <t>Key Activities &amp; Scope</t>
  </si>
  <si>
    <t>Status</t>
  </si>
  <si>
    <t>SAP Start</t>
  </si>
  <si>
    <t>SAP End</t>
  </si>
  <si>
    <t>Dur (d)</t>
  </si>
  <si>
    <t>Mock Readiness</t>
  </si>
  <si>
    <t>Remark</t>
  </si>
  <si>
    <t>A.Impact Analysis — impact assessment and mapping</t>
  </si>
  <si>
    <t>Risk, action, issue tracking</t>
  </si>
  <si>
    <t>+ Monitor all project life cycle</t>
  </si>
  <si>
    <t>B.Testing Support — for Accenture (ACN) and End Users</t>
  </si>
  <si>
    <t>CIT</t>
  </si>
  <si>
    <t>+ Depending on cr, currently approved and done cr 15 Sep 2026 | PM-I-109 (APM - SAP) under JIRA SHANA-168749</t>
  </si>
  <si>
    <t>SIT (mc1)</t>
  </si>
  <si>
    <t>+ Waiting for confirmation date from SHANA
+ Waiting for revised test case from SHANA
+ Depending on CIT and ACN fixed FD look like</t>
  </si>
  <si>
    <t>UAT (mc2)</t>
  </si>
  <si>
    <t>+ Wait for confirmation date from SHANA</t>
  </si>
  <si>
    <t>Business Simulation (mc3)</t>
  </si>
  <si>
    <t>C.Mock Validation — align with S/4HANA by switch source appoach</t>
  </si>
  <si>
    <t>Mock 1 Execution (SIT)</t>
  </si>
  <si>
    <t>+ Already validated and done</t>
  </si>
  <si>
    <t>Mock 2 Execution (UAT)</t>
  </si>
  <si>
    <t>+ Post load to GCP 21 Sep 2026
+ Required another 2 weeks (10 working days) for GCP team to prepares data</t>
  </si>
  <si>
    <t>Mock 3 Execution/FDR</t>
  </si>
  <si>
    <t>TBC</t>
  </si>
  <si>
    <t>D.Cutover &amp; Go-Live — prep and alignment with end users</t>
  </si>
  <si>
    <t>Ramp Down (ACO)</t>
  </si>
  <si>
    <t>Blackout Period: Deploy APM to Production (DB, BE, FE)</t>
  </si>
  <si>
    <t>+ SAP Go-Live, 1 Jul 2027</t>
  </si>
  <si>
    <t>Ramp Up</t>
  </si>
  <si>
    <t>+ After Go-Live</t>
  </si>
  <si>
    <t>E.Training &amp; Post Go-Live — hypercare support &amp; monitoring</t>
  </si>
  <si>
    <t>Hypercare support operations &amp; incident management</t>
  </si>
  <si>
    <t>+ Plan: Jul–Sep 2027 (PGLS phase)</t>
  </si>
  <si>
    <t>SAP Go-Live (Milestone)</t>
  </si>
  <si>
    <t>Notes:</t>
  </si>
  <si>
    <t>1. READ-ONLY SAP schedule view. Dates, status and the Go-Live date are linked formulas from the 'APM Plan &amp; FTE' tab - edit them there, this view updates automatically.</t>
  </si>
  <si>
    <t>2. One row per activity = the SAP window (phase color). APM's own dates and FTE planning live on the 'APM Plan &amp; FTE' tab.</t>
  </si>
  <si>
    <t>3. Many dates are TBC - waiting for confirmation from SHANA (SIT, UAT, Business Sim, Mock 3, Ramp Down, Blackout, Ramp Up, Hypercare).</t>
  </si>
  <si>
    <t>4. Orange header + gray band = current week; red block = SAP Go-Live week (1 Jul 2027).</t>
  </si>
  <si>
    <t>APM - SAP Activity &amp; Support Plan  |  Gantt (Weekly) + FTE Tracking</t>
  </si>
  <si>
    <t>Two stacked bars per activity: phase color = SAP window (SAP Start/End D:E); blue = APM's own window (APM Start/End F:G; red TBC = not confirmed yet) | Edit dates/Status/FTE here - bars, Dur and FTE shading update automatically | FTE grid below: role rows x weeks, values inside each activity's APM window | orange header + gray band = current week; red block = Go-Live week | AS OF 27 AUG 2026 - SAP Go-Live 1 Jul 2027</t>
  </si>
  <si>
    <t>APM own window (cols F-G)</t>
  </si>
  <si>
    <t>APM Start</t>
  </si>
  <si>
    <t>APM End</t>
  </si>
  <si>
    <t>In progress</t>
  </si>
  <si>
    <t>Not started</t>
  </si>
  <si>
    <t>Completed</t>
  </si>
  <si>
    <t>FTE TRACKING - monthly FTE by position (Feb'26 to Dec'27)</t>
  </si>
  <si>
    <t>1.0 = one person for the full month. One row per person (position repeated per person). Values are MOCK SAMPLES - type over them. The 'Total FTE' row auto-sums each month.</t>
  </si>
  <si>
    <t>Position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</si>
  <si>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</si>
  <si>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</si>
  <si>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</si>
  <si>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</si>
  <si>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</si>
  <si>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</si>
  <si>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</si>
  <si>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</si>
  <si>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</si>
  <si>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</si>
  <si>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</si>
  <si>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</si>
  <si>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</si>
  <si>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</si>
  <si>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</si>
  <si>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</si>
  <si>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Jun'27</t>
  </si>
  <si>
    <t>Jul'27</t>
  </si>
  <si>
    <t>Aug'27</t>
  </si>
  <si>
    <t>Sep'27</t>
  </si>
  <si>
    <t>Oct'27</t>
  </si>
  <si>
    <t>Nov'27</t>
  </si>
  <si>
    <t>Dec'27</t>
  </si>
  <si>
    <t>ITPM</t>
  </si>
  <si>
    <t>Scrum Master</t>
  </si>
  <si>
    <t>BA</t>
  </si>
  <si>
    <t>UX/UI Designer</t>
  </si>
  <si>
    <t>Frontend Developer</t>
  </si>
  <si>
    <t>Backend Developer</t>
  </si>
  <si>
    <t>QA</t>
  </si>
  <si>
    <t>QA Automation</t>
  </si>
  <si>
    <t>Data Analytics Services</t>
  </si>
  <si>
    <t>Data Scientist</t>
  </si>
  <si>
    <t>Total FTE (all positions)</t>
  </si>
  <si>
    <t>1. Each activity has TWO stacked bars: phase color = SAP window (SAP Start/End D:E); blue = APM's own window (APM Start/End F:G). Red 'TBC' = not confirmed yet - the blue bar appears once real dates are typed.</t>
  </si>
  <si>
    <t>2. FTE grid below: position x month, one row per person (mock samples - type over them). 1.0 = one person for the full month. The 'Total FTE (all positions)' row auto-sums each month; monthly columns match the Gantt month bands (Feb'26 - Dec'27).</t>
  </si>
  <si>
    <t>3. C. Mock Validation uses the switch-source approach; APM needs 5-10 extra days after post-load (GCP team prepares legacy data).</t>
  </si>
  <si>
    <t>4. Many dates are TBC - waiting for confirmation from SHANA (SIT, UAT, Business Sim, Mock 3, Ramp Down, Blackout, Ramp Up, Hypercare).</t>
  </si>
  <si>
    <t>5. Bars are conditional formatting; Dur (d) and FTE Total are formulas - all update automatically. Go-Live date is editable in its milestone row.</t>
  </si>
  <si>
    <t>6. Status has a dropdown; SAP/APM date columns open a date picker.</t>
  </si>
  <si>
    <t>7. 'Mock Readiness' (col I): readiness dates for Mock 1-3 (from source col E); grey hatch = not required.</t>
  </si>
  <si>
    <t>8. APM dates seeded from source col F: #1 mirrors the SAP lifecycle; CIT and Mock 2 (9-Oct-26) parsed; every unconfirmed row is left as TBC - edit freely.</t>
  </si>
  <si>
    <t>9. 'SAP Timeline' tab is a read-only linked view for stakeholders who only need the SAP schedule - edit nothing there.</t>
  </si>
  <si>
    <t>10. Re-run build_gantt.py to regenerate from the source plan; previous versions are backed up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</si>
</sst>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"/>
    <numFmt numFmtId="166" formatCode="dd\ mmm\ yy"/>
    <numFmt numFmtId="167" formatCode="mmm\ yy"/>
    <numFmt numFmtId="168" formatCode="dd\-mmm\-yy"/>
  </numFmts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404040"/>
      <name val="Calibri"/>
    </font>
    <font>
      <b/>
      <sz val="9"/>
      <name val="Calibri"/>
    </font>
    <font>
      <b/>
      <sz val="9"/>
      <color rgb="FF1F1F1F"/>
      <name val="Calibri"/>
    </font>
    <font>
      <i/>
      <sz val="8"/>
      <color rgb="FF595959"/>
      <name val="Calibri"/>
    </font>
    <font>
      <b/>
      <sz val="8"/>
      <name val="Calibri"/>
    </font>
    <font>
      <b/>
      <sz val="10"/>
      <color rgb="FF1F1F1F"/>
      <name val="Calibri"/>
    </font>
    <font>
      <b/>
      <sz val="9"/>
      <color rgb="FF1F4E79"/>
      <name val="Calibri"/>
    </font>
    <font>
      <sz val="8"/>
      <color rgb="FF404040"/>
      <name val="Calibri"/>
    </font>
    <font>
      <sz val="9"/>
      <color rgb="FF595959"/>
      <name val="Calibri"/>
    </font>
    <font>
      <b/>
      <i/>
      <sz val="9"/>
      <color rgb="FFC00000"/>
      <name val="Calibri"/>
    </font>
    <font>
      <b/>
      <sz val="9"/>
      <color rgb="FF375623"/>
      <name val="Calibri"/>
    </font>
    <font>
      <i/>
      <sz val="9"/>
      <color rgb="FFC00000"/>
      <name val="Calibri"/>
    </font>
    <font>
      <b/>
      <sz val="10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9"/>
      <color rgb="FF1F1F1F"/>
      <name val="Calibri"/>
    </font>
    <font>
      <sz val="9"/>
      <name val="Calibri"/>
    </font>
    <font>
      <b/>
      <sz val="11"/>
      <name val="Calibri"/>
    </font>
    <font>
      <sz val="9"/>
      <color rgb="FF40404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FEFEF"/>
        <bgColor rgb="FFEFEFE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B4A7D6"/>
        <bgColor rgb="FFB4A7D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lightUp">
        <fgColor rgb="FFBFBFBF"/>
        <bgColor rgb="FFFFFFFF"/>
      </patternFill>
    </fill>
    <fill>
      <patternFill patternType="solid">
        <fgColor rgb="FF404040"/>
        <bgColor rgb="FF404040"/>
      </patternFill>
    </fill>
  </fills>
  <borders count="3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5" fillId="0" borderId="0" xfId="0" applyFont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/>
    <xf numFmtId="0" fontId="3" fillId="10" borderId="2" xfId="0" applyFont="1" applyFill="1" applyBorder="1" applyAlignment="1">
      <alignment horizontal="center" vertical="center" wrapText="1"/>
    </xf>
    <xf numFmtId="165" fontId="6" fillId="10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13" borderId="0" xfId="0" applyFill="1"/>
    <xf numFmtId="166" fontId="15" fillId="13" borderId="0" xfId="0" applyNumberFormat="1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0" fillId="9" borderId="1" xfId="0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10" borderId="2" xfId="0" applyFont="1" applyFill="1" applyBorder="1"/>
    <xf numFmtId="0" fontId="6" fillId="10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2" fontId="18" fillId="0" borderId="2" xfId="0" applyNumberFormat="1" applyFont="1" applyBorder="1" applyAlignment="1">
      <alignment horizontal="right" vertical="center"/>
    </xf>
    <xf numFmtId="0" fontId="4" fillId="10" borderId="0" xfId="0" applyFont="1" applyFill="1"/>
    <xf numFmtId="2" fontId="3" fillId="10" borderId="2" xfId="0" applyNumberFormat="1" applyFont="1" applyFill="1" applyBorder="1" applyAlignment="1">
      <alignment horizontal="right"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/>
    <xf numFmtId="0" fontId="7" fillId="11" borderId="0" xfId="0" applyFont="1" applyFill="1" applyAlignment="1">
      <alignment vertical="center"/>
    </xf>
    <xf numFmtId="0" fontId="0" fillId="11" borderId="0" xfId="0" applyFill="1"/>
    <xf numFmtId="0" fontId="1" fillId="2" borderId="0" xfId="0" applyFont="1" applyFill="1" applyAlignment="1">
      <alignment vertical="center"/>
    </xf>
    <xf numFmtId="0" fontId="0" fillId="0" borderId="0" xfId="0"/>
    <xf numFmtId="0" fontId="14" fillId="13" borderId="0" xfId="0" applyFont="1" applyFill="1" applyAlignment="1">
      <alignment vertical="center"/>
    </xf>
    <xf numFmtId="0" fontId="0" fillId="13" borderId="0" xfId="0" applyFill="1"/>
    <xf numFmtId="0" fontId="2" fillId="3" borderId="0" xfId="0" applyFont="1" applyFill="1" applyAlignment="1">
      <alignment vertical="center"/>
    </xf>
    <xf numFmtId="2" fontId="18" fillId="0" borderId="2" xfId="0" applyNumberFormat="1" applyFont="1" applyBorder="1" applyAlignment="1">
      <alignment horizontal="right" vertical="center"/>
    </xf>
    <xf numFmtId="0" fontId="0" fillId="0" borderId="2" xfId="0" applyBorder="1"/>
    <xf numFmtId="0" fontId="6" fillId="10" borderId="2" xfId="0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right" vertical="center"/>
    </xf>
    <xf numFmtId="0" fontId="0" fillId="10" borderId="2" xfId="0" applyFill="1" applyBorder="1"/>
    <xf numFmtId="0" fontId="16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50">
    <dxf>
      <fill>
        <patternFill patternType="solid">
          <fgColor rgb="FFC00000"/>
          <bgColor rgb="FFC00000"/>
        </patternFill>
      </fill>
      <border>
        <left style="thin">
          <color rgb="FF7F0000"/>
        </left>
        <right style="thin">
          <color rgb="FF7F0000"/>
        </right>
        <top style="thin">
          <color rgb="FF7F0000"/>
        </top>
        <bottom style="thin">
          <color rgb="FF7F0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B4A7D6"/>
          <bgColor rgb="FFB4A7D6"/>
        </patternFill>
      </fill>
      <border>
        <left style="thin">
          <color rgb="FF5B4D92"/>
        </left>
        <right style="thin">
          <color rgb="FF5B4D92"/>
        </right>
        <top style="thin">
          <color rgb="FF5B4D92"/>
        </top>
        <bottom style="thin">
          <color rgb="FF5B4D92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4472C4"/>
          <bgColor rgb="FF4472C4"/>
        </patternFill>
      </fill>
      <border>
        <left style="thin">
          <color rgb="FF1F3864"/>
        </left>
        <right style="thin">
          <color rgb="FF1F3864"/>
        </right>
        <top style="thin">
          <color rgb="FF1F3864"/>
        </top>
        <bottom style="thin">
          <color rgb="FF1F3864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9DC3E6"/>
          <bgColor rgb="FF9DC3E6"/>
        </patternFill>
      </fill>
      <border>
        <left style="thin">
          <color rgb="FF2F5597"/>
        </left>
        <right style="thin">
          <color rgb="FF2F5597"/>
        </right>
        <top style="thin">
          <color rgb="FF2F5597"/>
        </top>
        <bottom style="thin">
          <color rgb="FF2F5597"/>
        </bottom>
      </border>
    </dxf>
    <dxf>
      <font>
        <b/>
        <sz val="8"/>
        <color rgb="FF1F1F1F"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C00000"/>
          <bgColor rgb="FFC00000"/>
        </patternFill>
      </fill>
      <border>
        <left style="thin">
          <color rgb="FF7F0000"/>
        </left>
        <right style="thin">
          <color rgb="FF7F0000"/>
        </right>
        <top style="thin">
          <color rgb="FF7F0000"/>
        </top>
        <bottom style="thin">
          <color rgb="FF7F0000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B4A7D6"/>
          <bgColor rgb="FFB4A7D6"/>
        </patternFill>
      </fill>
      <border>
        <left style="thin">
          <color rgb="FF5B4D92"/>
        </left>
        <right style="thin">
          <color rgb="FF5B4D92"/>
        </right>
        <top style="thin">
          <color rgb="FF5B4D92"/>
        </top>
        <bottom style="thin">
          <color rgb="FF5B4D92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4B183"/>
          <bgColor rgb="FFF4B183"/>
        </patternFill>
      </fill>
      <border>
        <left style="thin">
          <color rgb="FFC55A11"/>
        </left>
        <right style="thin">
          <color rgb="FFC55A11"/>
        </right>
        <top style="thin">
          <color rgb="FFC55A11"/>
        </top>
        <bottom style="thin">
          <color rgb="FFC55A11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D966"/>
          <bgColor rgb="FFFFD966"/>
        </patternFill>
      </fill>
      <border>
        <left style="thin">
          <color rgb="FFBF9000"/>
        </left>
        <right style="thin">
          <color rgb="FFBF9000"/>
        </right>
        <top style="thin">
          <color rgb="FFBF9000"/>
        </top>
        <bottom style="thin">
          <color rgb="FFBF9000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A9D08E"/>
          <bgColor rgb="FFA9D08E"/>
        </patternFill>
      </fill>
      <border>
        <left style="thin">
          <color rgb="FF538135"/>
        </left>
        <right style="thin">
          <color rgb="FF538135"/>
        </right>
        <top style="thin">
          <color rgb="FF538135"/>
        </top>
        <bottom style="thin">
          <color rgb="FF538135"/>
        </bottom>
      </border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9DC3E6"/>
          <bgColor rgb="FF9DC3E6"/>
        </patternFill>
      </fill>
      <border>
        <left style="thin">
          <color rgb="FF2F5597"/>
        </left>
        <right style="thin">
          <color rgb="FF2F5597"/>
        </right>
        <top style="thin">
          <color rgb="FF2F5597"/>
        </top>
        <bottom style="thin">
          <color rgb="FF2F5597"/>
        </bottom>
      </border>
    </dxf>
    <dxf>
      <font>
        <b/>
        <sz val="8"/>
        <color rgb="FF1F1F1F"/>
      </font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9"/>
  <sheetViews>
    <sheetView showGridLines="0" workbookViewId="0">
      <pane xSplit="8" ySplit="5" topLeftCell="I6" activePane="bottomRight" state="frozen"/>
      <selection pane="topRight"/>
      <selection pane="bottomLeft"/>
      <selection pane="bottomRight" sqref="A1:DA1"/>
    </sheetView>
  </sheetViews>
  <sheetFormatPr defaultRowHeight="15" x14ac:dyDescent="0.25"/>
  <cols>
    <col min="1" max="1" width="4.42578125" customWidth="1"/>
    <col min="2" max="2" width="62" customWidth="1"/>
    <col min="3" max="3" width="12" customWidth="1"/>
    <col min="4" max="5" width="13" customWidth="1"/>
    <col min="6" max="6" width="10" customWidth="1"/>
    <col min="7" max="7" width="13" customWidth="1"/>
    <col min="8" max="8" width="45" customWidth="1"/>
    <col min="9" max="105" width="2" customWidth="1"/>
  </cols>
  <sheetData>
    <row r="1" spans="1:105" ht="26.1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</row>
    <row r="2" spans="1:105" ht="33.950000000000003" customHeight="1" x14ac:dyDescent="0.25">
      <c r="A2" s="46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</row>
    <row r="3" spans="1:105" ht="14.1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7"/>
      <c r="H3" s="8" t="s">
        <v>8</v>
      </c>
    </row>
    <row r="4" spans="1:105" x14ac:dyDescent="0.25">
      <c r="I4" s="9" t="s">
        <v>9</v>
      </c>
      <c r="J4" s="38" t="s">
        <v>10</v>
      </c>
      <c r="K4" s="39"/>
      <c r="L4" s="39"/>
      <c r="M4" s="39"/>
      <c r="N4" s="39"/>
      <c r="O4" s="38" t="s">
        <v>11</v>
      </c>
      <c r="P4" s="39"/>
      <c r="Q4" s="39"/>
      <c r="R4" s="39"/>
      <c r="S4" s="38" t="s">
        <v>12</v>
      </c>
      <c r="T4" s="39"/>
      <c r="U4" s="39"/>
      <c r="V4" s="39"/>
      <c r="W4" s="38" t="s">
        <v>13</v>
      </c>
      <c r="X4" s="39"/>
      <c r="Y4" s="39"/>
      <c r="Z4" s="39"/>
      <c r="AA4" s="39"/>
      <c r="AB4" s="38" t="s">
        <v>14</v>
      </c>
      <c r="AC4" s="39"/>
      <c r="AD4" s="39"/>
      <c r="AE4" s="39"/>
      <c r="AF4" s="38" t="s">
        <v>15</v>
      </c>
      <c r="AG4" s="39"/>
      <c r="AH4" s="39"/>
      <c r="AI4" s="39"/>
      <c r="AJ4" s="39"/>
      <c r="AK4" s="38" t="s">
        <v>16</v>
      </c>
      <c r="AL4" s="39"/>
      <c r="AM4" s="39"/>
      <c r="AN4" s="39"/>
      <c r="AO4" s="38" t="s">
        <v>17</v>
      </c>
      <c r="AP4" s="39"/>
      <c r="AQ4" s="39"/>
      <c r="AR4" s="39"/>
      <c r="AS4" s="38" t="s">
        <v>18</v>
      </c>
      <c r="AT4" s="39"/>
      <c r="AU4" s="39"/>
      <c r="AV4" s="39"/>
      <c r="AW4" s="39"/>
      <c r="AX4" s="38" t="s">
        <v>19</v>
      </c>
      <c r="AY4" s="39"/>
      <c r="AZ4" s="39"/>
      <c r="BA4" s="39"/>
      <c r="BB4" s="38" t="s">
        <v>20</v>
      </c>
      <c r="BC4" s="39"/>
      <c r="BD4" s="39"/>
      <c r="BE4" s="39"/>
      <c r="BF4" s="38" t="s">
        <v>9</v>
      </c>
      <c r="BG4" s="39"/>
      <c r="BH4" s="39"/>
      <c r="BI4" s="39"/>
      <c r="BJ4" s="38" t="s">
        <v>10</v>
      </c>
      <c r="BK4" s="39"/>
      <c r="BL4" s="39"/>
      <c r="BM4" s="39"/>
      <c r="BN4" s="39"/>
      <c r="BO4" s="38" t="s">
        <v>11</v>
      </c>
      <c r="BP4" s="39"/>
      <c r="BQ4" s="39"/>
      <c r="BR4" s="39"/>
      <c r="BS4" s="38" t="s">
        <v>12</v>
      </c>
      <c r="BT4" s="39"/>
      <c r="BU4" s="39"/>
      <c r="BV4" s="39"/>
      <c r="BW4" s="39"/>
      <c r="BX4" s="38" t="s">
        <v>13</v>
      </c>
      <c r="BY4" s="39"/>
      <c r="BZ4" s="39"/>
      <c r="CA4" s="39"/>
      <c r="CB4" s="38" t="s">
        <v>14</v>
      </c>
      <c r="CC4" s="39"/>
      <c r="CD4" s="39"/>
      <c r="CE4" s="39"/>
      <c r="CF4" s="38" t="s">
        <v>15</v>
      </c>
      <c r="CG4" s="39"/>
      <c r="CH4" s="39"/>
      <c r="CI4" s="39"/>
      <c r="CJ4" s="39"/>
      <c r="CK4" s="38" t="s">
        <v>16</v>
      </c>
      <c r="CL4" s="39"/>
      <c r="CM4" s="39"/>
      <c r="CN4" s="39"/>
      <c r="CO4" s="38" t="s">
        <v>17</v>
      </c>
      <c r="CP4" s="39"/>
      <c r="CQ4" s="39"/>
      <c r="CR4" s="39"/>
      <c r="CS4" s="38" t="s">
        <v>18</v>
      </c>
      <c r="CT4" s="39"/>
      <c r="CU4" s="39"/>
      <c r="CV4" s="39"/>
      <c r="CW4" s="39"/>
      <c r="CX4" s="38" t="s">
        <v>19</v>
      </c>
      <c r="CY4" s="39"/>
      <c r="CZ4" s="39"/>
      <c r="DA4" s="39"/>
    </row>
    <row r="5" spans="1:105" x14ac:dyDescent="0.25">
      <c r="A5" s="11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2">
        <v>46076</v>
      </c>
      <c r="J5" s="12">
        <v>46083</v>
      </c>
      <c r="K5" s="12">
        <v>46090</v>
      </c>
      <c r="L5" s="12">
        <v>46097</v>
      </c>
      <c r="M5" s="12">
        <v>46104</v>
      </c>
      <c r="N5" s="12">
        <v>46111</v>
      </c>
      <c r="O5" s="12">
        <v>46118</v>
      </c>
      <c r="P5" s="12">
        <v>46125</v>
      </c>
      <c r="Q5" s="12">
        <v>46132</v>
      </c>
      <c r="R5" s="12">
        <v>46139</v>
      </c>
      <c r="S5" s="12">
        <v>46146</v>
      </c>
      <c r="T5" s="12">
        <v>46153</v>
      </c>
      <c r="U5" s="12">
        <v>46160</v>
      </c>
      <c r="V5" s="12">
        <v>46167</v>
      </c>
      <c r="W5" s="12">
        <v>46174</v>
      </c>
      <c r="X5" s="12">
        <v>46181</v>
      </c>
      <c r="Y5" s="12">
        <v>46188</v>
      </c>
      <c r="Z5" s="12">
        <v>46195</v>
      </c>
      <c r="AA5" s="12">
        <v>46202</v>
      </c>
      <c r="AB5" s="12">
        <v>46209</v>
      </c>
      <c r="AC5" s="12">
        <v>46216</v>
      </c>
      <c r="AD5" s="12">
        <v>46223</v>
      </c>
      <c r="AE5" s="12">
        <v>46230</v>
      </c>
      <c r="AF5" s="12">
        <v>46237</v>
      </c>
      <c r="AG5" s="12">
        <v>46244</v>
      </c>
      <c r="AH5" s="12">
        <v>46251</v>
      </c>
      <c r="AI5" s="12">
        <v>46258</v>
      </c>
      <c r="AJ5" s="12">
        <v>46265</v>
      </c>
      <c r="AK5" s="12">
        <v>46272</v>
      </c>
      <c r="AL5" s="12">
        <v>46279</v>
      </c>
      <c r="AM5" s="12">
        <v>46286</v>
      </c>
      <c r="AN5" s="12">
        <v>46293</v>
      </c>
      <c r="AO5" s="12">
        <v>46300</v>
      </c>
      <c r="AP5" s="12">
        <v>46307</v>
      </c>
      <c r="AQ5" s="12">
        <v>46314</v>
      </c>
      <c r="AR5" s="12">
        <v>46321</v>
      </c>
      <c r="AS5" s="12">
        <v>46328</v>
      </c>
      <c r="AT5" s="12">
        <v>46335</v>
      </c>
      <c r="AU5" s="12">
        <v>46342</v>
      </c>
      <c r="AV5" s="12">
        <v>46349</v>
      </c>
      <c r="AW5" s="12">
        <v>46356</v>
      </c>
      <c r="AX5" s="12">
        <v>46363</v>
      </c>
      <c r="AY5" s="12">
        <v>46370</v>
      </c>
      <c r="AZ5" s="12">
        <v>46377</v>
      </c>
      <c r="BA5" s="12">
        <v>46384</v>
      </c>
      <c r="BB5" s="12">
        <v>46391</v>
      </c>
      <c r="BC5" s="12">
        <v>46398</v>
      </c>
      <c r="BD5" s="12">
        <v>46405</v>
      </c>
      <c r="BE5" s="12">
        <v>46412</v>
      </c>
      <c r="BF5" s="12">
        <v>46419</v>
      </c>
      <c r="BG5" s="12">
        <v>46426</v>
      </c>
      <c r="BH5" s="12">
        <v>46433</v>
      </c>
      <c r="BI5" s="12">
        <v>46440</v>
      </c>
      <c r="BJ5" s="12">
        <v>46447</v>
      </c>
      <c r="BK5" s="12">
        <v>46454</v>
      </c>
      <c r="BL5" s="12">
        <v>46461</v>
      </c>
      <c r="BM5" s="12">
        <v>46468</v>
      </c>
      <c r="BN5" s="12">
        <v>46475</v>
      </c>
      <c r="BO5" s="12">
        <v>46482</v>
      </c>
      <c r="BP5" s="12">
        <v>46489</v>
      </c>
      <c r="BQ5" s="12">
        <v>46496</v>
      </c>
      <c r="BR5" s="12">
        <v>46503</v>
      </c>
      <c r="BS5" s="12">
        <v>46510</v>
      </c>
      <c r="BT5" s="12">
        <v>46517</v>
      </c>
      <c r="BU5" s="12">
        <v>46524</v>
      </c>
      <c r="BV5" s="12">
        <v>46531</v>
      </c>
      <c r="BW5" s="12">
        <v>46538</v>
      </c>
      <c r="BX5" s="12">
        <v>46545</v>
      </c>
      <c r="BY5" s="12">
        <v>46552</v>
      </c>
      <c r="BZ5" s="12">
        <v>46559</v>
      </c>
      <c r="CA5" s="12">
        <v>46566</v>
      </c>
      <c r="CB5" s="12">
        <v>46573</v>
      </c>
      <c r="CC5" s="12">
        <v>46580</v>
      </c>
      <c r="CD5" s="12">
        <v>46587</v>
      </c>
      <c r="CE5" s="12">
        <v>46594</v>
      </c>
      <c r="CF5" s="12">
        <v>46601</v>
      </c>
      <c r="CG5" s="12">
        <v>46608</v>
      </c>
      <c r="CH5" s="12">
        <v>46615</v>
      </c>
      <c r="CI5" s="12">
        <v>46622</v>
      </c>
      <c r="CJ5" s="12">
        <v>46629</v>
      </c>
      <c r="CK5" s="12">
        <v>46636</v>
      </c>
      <c r="CL5" s="12">
        <v>46643</v>
      </c>
      <c r="CM5" s="12">
        <v>46650</v>
      </c>
      <c r="CN5" s="12">
        <v>46657</v>
      </c>
      <c r="CO5" s="12">
        <v>46664</v>
      </c>
      <c r="CP5" s="12">
        <v>46671</v>
      </c>
      <c r="CQ5" s="12">
        <v>46678</v>
      </c>
      <c r="CR5" s="12">
        <v>46685</v>
      </c>
      <c r="CS5" s="12">
        <v>46692</v>
      </c>
      <c r="CT5" s="12">
        <v>46699</v>
      </c>
      <c r="CU5" s="12">
        <v>46706</v>
      </c>
      <c r="CV5" s="12">
        <v>46713</v>
      </c>
      <c r="CW5" s="12">
        <v>46720</v>
      </c>
      <c r="CX5" s="12">
        <v>46727</v>
      </c>
      <c r="CY5" s="12">
        <v>46734</v>
      </c>
      <c r="CZ5" s="12">
        <v>46741</v>
      </c>
      <c r="DA5" s="12">
        <v>46748</v>
      </c>
    </row>
    <row r="6" spans="1:105" ht="18" customHeight="1" x14ac:dyDescent="0.25">
      <c r="A6" s="40" t="s">
        <v>29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</row>
    <row r="7" spans="1:105" ht="20.100000000000001" customHeight="1" x14ac:dyDescent="0.25">
      <c r="A7" s="13">
        <v>1</v>
      </c>
      <c r="B7" s="14" t="s">
        <v>30</v>
      </c>
      <c r="C7" s="15" t="str">
        <f>'APM Plan &amp; FTE'!C7</f>
        <v>In progress</v>
      </c>
      <c r="D7" s="16">
        <f>'APM Plan &amp; FTE'!D7</f>
        <v>46113</v>
      </c>
      <c r="E7" s="16">
        <f>'APM Plan &amp; FTE'!E7</f>
        <v>46660</v>
      </c>
      <c r="F7" s="17">
        <f>IF(AND(ISNUMBER($D7),ISNUMBER($E7)),$E7-$D7+1,"")</f>
        <v>548</v>
      </c>
      <c r="G7" s="18"/>
      <c r="H7" s="19" t="s">
        <v>31</v>
      </c>
    </row>
    <row r="8" spans="1:105" ht="18" customHeight="1" x14ac:dyDescent="0.25">
      <c r="A8" s="40" t="s">
        <v>32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</row>
    <row r="9" spans="1:105" ht="20.100000000000001" customHeight="1" x14ac:dyDescent="0.25">
      <c r="A9" s="13">
        <v>2</v>
      </c>
      <c r="B9" s="14" t="s">
        <v>33</v>
      </c>
      <c r="C9" s="15" t="str">
        <f>'APM Plan &amp; FTE'!C10</f>
        <v>In progress</v>
      </c>
      <c r="D9" s="16">
        <f>'APM Plan &amp; FTE'!D10</f>
        <v>46288</v>
      </c>
      <c r="E9" s="16">
        <f>'APM Plan &amp; FTE'!E10</f>
        <v>46293</v>
      </c>
      <c r="F9" s="17">
        <f>IF(AND(ISNUMBER($D9),ISNUMBER($E9)),$E9-$D9+1,"")</f>
        <v>6</v>
      </c>
      <c r="G9" s="18"/>
      <c r="H9" s="19" t="s">
        <v>34</v>
      </c>
    </row>
    <row r="10" spans="1:105" ht="20.100000000000001" customHeight="1" x14ac:dyDescent="0.25">
      <c r="A10" s="13">
        <v>3</v>
      </c>
      <c r="B10" s="14" t="s">
        <v>35</v>
      </c>
      <c r="C10" s="15" t="str">
        <f>'APM Plan &amp; FTE'!C12</f>
        <v>Not started</v>
      </c>
      <c r="D10" s="16">
        <f>'APM Plan &amp; FTE'!D12</f>
        <v>46296</v>
      </c>
      <c r="E10" s="16">
        <f>'APM Plan &amp; FTE'!E12</f>
        <v>46376</v>
      </c>
      <c r="F10" s="17">
        <f>IF(AND(ISNUMBER($D10),ISNUMBER($E10)),$E10-$D10+1,"")</f>
        <v>81</v>
      </c>
      <c r="G10" s="18"/>
      <c r="H10" s="19" t="s">
        <v>36</v>
      </c>
    </row>
    <row r="11" spans="1:105" ht="20.100000000000001" customHeight="1" x14ac:dyDescent="0.25">
      <c r="A11" s="13">
        <v>4</v>
      </c>
      <c r="B11" s="14" t="s">
        <v>37</v>
      </c>
      <c r="C11" s="15" t="str">
        <f>'APM Plan &amp; FTE'!C14</f>
        <v>Not started</v>
      </c>
      <c r="D11" s="16">
        <f>'APM Plan &amp; FTE'!D14</f>
        <v>46391</v>
      </c>
      <c r="E11" s="16">
        <f>'APM Plan &amp; FTE'!E14</f>
        <v>46461</v>
      </c>
      <c r="F11" s="17">
        <f>IF(AND(ISNUMBER($D11),ISNUMBER($E11)),$E11-$D11+1,"")</f>
        <v>71</v>
      </c>
      <c r="G11" s="18"/>
      <c r="H11" s="19" t="s">
        <v>38</v>
      </c>
    </row>
    <row r="12" spans="1:105" ht="20.100000000000001" customHeight="1" x14ac:dyDescent="0.25">
      <c r="A12" s="13">
        <v>5</v>
      </c>
      <c r="B12" s="14" t="s">
        <v>39</v>
      </c>
      <c r="C12" s="15" t="str">
        <f>'APM Plan &amp; FTE'!C16</f>
        <v>Not started</v>
      </c>
      <c r="D12" s="16">
        <f>'APM Plan &amp; FTE'!D16</f>
        <v>46466</v>
      </c>
      <c r="E12" s="16">
        <f>'APM Plan &amp; FTE'!E16</f>
        <v>46507</v>
      </c>
      <c r="F12" s="17">
        <f>IF(AND(ISNUMBER($D12),ISNUMBER($E12)),$E12-$D12+1,"")</f>
        <v>42</v>
      </c>
      <c r="G12" s="18"/>
      <c r="H12" s="19" t="s">
        <v>38</v>
      </c>
    </row>
    <row r="13" spans="1:105" ht="18" customHeight="1" x14ac:dyDescent="0.25">
      <c r="A13" s="40" t="s">
        <v>40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</row>
    <row r="14" spans="1:105" ht="20.100000000000001" customHeight="1" x14ac:dyDescent="0.25">
      <c r="A14" s="13">
        <v>6</v>
      </c>
      <c r="B14" s="14" t="s">
        <v>41</v>
      </c>
      <c r="C14" s="15" t="str">
        <f>'APM Plan &amp; FTE'!C19</f>
        <v>Completed</v>
      </c>
      <c r="D14" s="16">
        <f>'APM Plan &amp; FTE'!D19</f>
        <v>46113</v>
      </c>
      <c r="E14" s="16">
        <f>'APM Plan &amp; FTE'!E19</f>
        <v>46203</v>
      </c>
      <c r="F14" s="17">
        <f>IF(AND(ISNUMBER($D14),ISNUMBER($E14)),$E14-$D14+1,"")</f>
        <v>91</v>
      </c>
      <c r="G14" s="20">
        <v>46143</v>
      </c>
      <c r="H14" s="19" t="s">
        <v>42</v>
      </c>
    </row>
    <row r="15" spans="1:105" ht="20.100000000000001" customHeight="1" x14ac:dyDescent="0.25">
      <c r="A15" s="13">
        <v>7</v>
      </c>
      <c r="B15" s="14" t="s">
        <v>43</v>
      </c>
      <c r="C15" s="15" t="str">
        <f>'APM Plan &amp; FTE'!C21</f>
        <v>Not started</v>
      </c>
      <c r="D15" s="16">
        <f>'APM Plan &amp; FTE'!D21</f>
        <v>46113</v>
      </c>
      <c r="E15" s="16">
        <f>'APM Plan &amp; FTE'!E21</f>
        <v>46356</v>
      </c>
      <c r="F15" s="17">
        <f>IF(AND(ISNUMBER($D15),ISNUMBER($E15)),$E15-$D15+1,"")</f>
        <v>244</v>
      </c>
      <c r="G15" s="21">
        <v>46286</v>
      </c>
      <c r="H15" s="19" t="s">
        <v>44</v>
      </c>
    </row>
    <row r="16" spans="1:105" ht="20.100000000000001" customHeight="1" x14ac:dyDescent="0.25">
      <c r="A16" s="13">
        <v>8</v>
      </c>
      <c r="B16" s="14" t="s">
        <v>45</v>
      </c>
      <c r="C16" s="15" t="str">
        <f>'APM Plan &amp; FTE'!C23</f>
        <v>Not started</v>
      </c>
      <c r="D16" s="16">
        <f>'APM Plan &amp; FTE'!D23</f>
        <v>46357</v>
      </c>
      <c r="E16" s="16">
        <f>'APM Plan &amp; FTE'!E23</f>
        <v>46477</v>
      </c>
      <c r="F16" s="17">
        <f>IF(AND(ISNUMBER($D16),ISNUMBER($E16)),$E16-$D16+1,"")</f>
        <v>121</v>
      </c>
      <c r="G16" s="22" t="s">
        <v>46</v>
      </c>
      <c r="H16" s="19" t="s">
        <v>38</v>
      </c>
    </row>
    <row r="17" spans="1:105" ht="18" customHeight="1" x14ac:dyDescent="0.25">
      <c r="A17" s="40" t="s">
        <v>47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</row>
    <row r="18" spans="1:105" ht="20.100000000000001" customHeight="1" x14ac:dyDescent="0.25">
      <c r="A18" s="13">
        <v>9</v>
      </c>
      <c r="B18" s="14" t="s">
        <v>48</v>
      </c>
      <c r="C18" s="15" t="str">
        <f>'APM Plan &amp; FTE'!C26</f>
        <v>Not started</v>
      </c>
      <c r="D18" s="16">
        <f>'APM Plan &amp; FTE'!D26</f>
        <v>46510</v>
      </c>
      <c r="E18" s="16">
        <f>'APM Plan &amp; FTE'!E26</f>
        <v>46563</v>
      </c>
      <c r="F18" s="17">
        <f>IF(AND(ISNUMBER($D18),ISNUMBER($E18)),$E18-$D18+1,"")</f>
        <v>54</v>
      </c>
      <c r="G18" s="18"/>
    </row>
    <row r="19" spans="1:105" ht="20.100000000000001" customHeight="1" x14ac:dyDescent="0.25">
      <c r="A19" s="13">
        <v>10</v>
      </c>
      <c r="B19" s="14" t="s">
        <v>49</v>
      </c>
      <c r="C19" s="15" t="str">
        <f>'APM Plan &amp; FTE'!C28</f>
        <v>Not started</v>
      </c>
      <c r="D19" s="16">
        <f>'APM Plan &amp; FTE'!D28</f>
        <v>46564</v>
      </c>
      <c r="E19" s="16">
        <f>'APM Plan &amp; FTE'!E28</f>
        <v>46568</v>
      </c>
      <c r="F19" s="17">
        <f>IF(AND(ISNUMBER($D19),ISNUMBER($E19)),$E19-$D19+1,"")</f>
        <v>5</v>
      </c>
      <c r="G19" s="18"/>
      <c r="H19" s="19" t="s">
        <v>50</v>
      </c>
    </row>
    <row r="20" spans="1:105" ht="20.100000000000001" customHeight="1" x14ac:dyDescent="0.25">
      <c r="A20" s="13">
        <v>11</v>
      </c>
      <c r="B20" s="14" t="s">
        <v>51</v>
      </c>
      <c r="C20" s="15" t="str">
        <f>'APM Plan &amp; FTE'!C30</f>
        <v>Not started</v>
      </c>
      <c r="D20" s="16">
        <f>'APM Plan &amp; FTE'!D30</f>
        <v>46569</v>
      </c>
      <c r="E20" s="16">
        <f>'APM Plan &amp; FTE'!E30</f>
        <v>46599</v>
      </c>
      <c r="F20" s="17">
        <f>IF(AND(ISNUMBER($D20),ISNUMBER($E20)),$E20-$D20+1,"")</f>
        <v>31</v>
      </c>
      <c r="G20" s="18"/>
      <c r="H20" s="19" t="s">
        <v>52</v>
      </c>
    </row>
    <row r="21" spans="1:105" ht="18" customHeight="1" x14ac:dyDescent="0.25">
      <c r="A21" s="40" t="s">
        <v>53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</row>
    <row r="22" spans="1:105" ht="20.100000000000001" customHeight="1" x14ac:dyDescent="0.25">
      <c r="A22" s="13">
        <v>12</v>
      </c>
      <c r="B22" s="14" t="s">
        <v>54</v>
      </c>
      <c r="C22" s="15" t="str">
        <f>'APM Plan &amp; FTE'!C33</f>
        <v>Not started</v>
      </c>
      <c r="D22" s="16" t="str">
        <f>'APM Plan &amp; FTE'!D33</f>
        <v>TBC</v>
      </c>
      <c r="E22" s="16">
        <f>'APM Plan &amp; FTE'!E33</f>
        <v>0</v>
      </c>
      <c r="F22" s="17" t="str">
        <f>IF(AND(ISNUMBER($D22),ISNUMBER($E22)),$E22-$D22+1,"")</f>
        <v/>
      </c>
      <c r="G22" s="18"/>
      <c r="H22" s="19" t="s">
        <v>55</v>
      </c>
    </row>
    <row r="23" spans="1:105" ht="18" customHeight="1" x14ac:dyDescent="0.25">
      <c r="A23" s="44" t="s">
        <v>56</v>
      </c>
      <c r="B23" s="45"/>
      <c r="C23" s="23"/>
      <c r="D23" s="24">
        <f>'APM Plan &amp; FTE'!D35</f>
        <v>46569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</row>
    <row r="25" spans="1:105" x14ac:dyDescent="0.25">
      <c r="A25" s="25" t="s">
        <v>57</v>
      </c>
    </row>
    <row r="26" spans="1:105" x14ac:dyDescent="0.25">
      <c r="A26" s="26" t="s">
        <v>58</v>
      </c>
    </row>
    <row r="27" spans="1:105" x14ac:dyDescent="0.25">
      <c r="A27" s="26" t="s">
        <v>59</v>
      </c>
    </row>
    <row r="28" spans="1:105" x14ac:dyDescent="0.25">
      <c r="A28" s="26" t="s">
        <v>60</v>
      </c>
    </row>
    <row r="29" spans="1:105" x14ac:dyDescent="0.25">
      <c r="A29" s="26" t="s">
        <v>61</v>
      </c>
    </row>
  </sheetData>
  <mergeCells count="30">
    <mergeCell ref="A23:B23"/>
    <mergeCell ref="A21:DA21"/>
    <mergeCell ref="O4:R4"/>
    <mergeCell ref="A2:DA2"/>
    <mergeCell ref="CF4:CJ4"/>
    <mergeCell ref="BB4:BE4"/>
    <mergeCell ref="BF4:BI4"/>
    <mergeCell ref="A8:DA8"/>
    <mergeCell ref="A17:DA17"/>
    <mergeCell ref="W4:AA4"/>
    <mergeCell ref="A1:DA1"/>
    <mergeCell ref="A6:DA6"/>
    <mergeCell ref="CK4:CN4"/>
    <mergeCell ref="J4:N4"/>
    <mergeCell ref="AK4:AN4"/>
    <mergeCell ref="AB4:AE4"/>
    <mergeCell ref="BX4:CA4"/>
    <mergeCell ref="CO4:CR4"/>
    <mergeCell ref="CS4:CW4"/>
    <mergeCell ref="AO4:AR4"/>
    <mergeCell ref="A13:DA13"/>
    <mergeCell ref="BJ4:BN4"/>
    <mergeCell ref="CB4:CE4"/>
    <mergeCell ref="CX4:DA4"/>
    <mergeCell ref="AS4:AW4"/>
    <mergeCell ref="AF4:AJ4"/>
    <mergeCell ref="S4:V4"/>
    <mergeCell ref="AX4:BA4"/>
    <mergeCell ref="BO4:BR4"/>
    <mergeCell ref="BS4:BW4"/>
  </mergeCells>
  <conditionalFormatting sqref="I5:DA5">
    <cfRule type="expression" dxfId="49" priority="26">
      <formula>AND(I5&lt;=TODAY(),I5+6&gt;=TODAY())</formula>
    </cfRule>
  </conditionalFormatting>
  <conditionalFormatting sqref="I7:DA7">
    <cfRule type="expression" dxfId="48" priority="1" stopIfTrue="1">
      <formula>AND($D7&lt;=I$5+6,$E7&gt;=I$5)</formula>
    </cfRule>
    <cfRule type="expression" dxfId="47" priority="2">
      <formula>AND(I$5&lt;=TODAY(),I$5+6&gt;=TODAY())</formula>
    </cfRule>
  </conditionalFormatting>
  <conditionalFormatting sqref="I9:DA12">
    <cfRule type="expression" dxfId="46" priority="3" stopIfTrue="1">
      <formula>AND($D9&lt;=I$5+6,$E9&gt;=I$5)</formula>
    </cfRule>
    <cfRule type="expression" dxfId="45" priority="4">
      <formula>AND(I$5&lt;=TODAY(),I$5+6&gt;=TODAY())</formula>
    </cfRule>
  </conditionalFormatting>
  <conditionalFormatting sqref="I14:DA16">
    <cfRule type="expression" dxfId="44" priority="11" stopIfTrue="1">
      <formula>AND($D14&lt;=I$5+6,$E14&gt;=I$5)</formula>
    </cfRule>
    <cfRule type="expression" dxfId="43" priority="12">
      <formula>AND(I$5&lt;=TODAY(),I$5+6&gt;=TODAY())</formula>
    </cfRule>
  </conditionalFormatting>
  <conditionalFormatting sqref="I18:DA20">
    <cfRule type="expression" dxfId="42" priority="17" stopIfTrue="1">
      <formula>AND($D18&lt;=I$5+6,$E18&gt;=I$5)</formula>
    </cfRule>
    <cfRule type="expression" dxfId="41" priority="18">
      <formula>AND(I$5&lt;=TODAY(),I$5+6&gt;=TODAY())</formula>
    </cfRule>
  </conditionalFormatting>
  <conditionalFormatting sqref="I22:DA22">
    <cfRule type="expression" dxfId="40" priority="23" stopIfTrue="1">
      <formula>AND($D22&lt;=I$5+6,$E22&gt;=I$5)</formula>
    </cfRule>
    <cfRule type="expression" dxfId="39" priority="24">
      <formula>AND(I$5&lt;=TODAY(),I$5+6&gt;=TODAY())</formula>
    </cfRule>
  </conditionalFormatting>
  <conditionalFormatting sqref="I23:DA23">
    <cfRule type="expression" dxfId="38" priority="25">
      <formula>AND(I$5&lt;=$D23,I$5+6&gt;=$D23)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66"/>
  <sheetViews>
    <sheetView showGridLines="0" tabSelected="1" workbookViewId="0">
      <pane xSplit="10" ySplit="5" topLeftCell="K22" activePane="bottomRight" state="frozen"/>
      <selection pane="topRight"/>
      <selection pane="bottomLeft"/>
      <selection pane="bottomRight" activeCell="G51" sqref="G51"/>
    </sheetView>
  </sheetViews>
  <sheetFormatPr defaultRowHeight="15" x14ac:dyDescent="0.25"/>
  <cols>
    <col min="1" max="1" width="4.42578125" customWidth="1"/>
    <col min="2" max="2" width="62" customWidth="1"/>
    <col min="3" max="3" width="12" customWidth="1"/>
    <col min="4" max="7" width="13" customWidth="1"/>
    <col min="8" max="8" width="10" customWidth="1"/>
    <col min="9" max="9" width="13" customWidth="1"/>
    <col min="10" max="10" width="45" customWidth="1"/>
    <col min="11" max="107" width="5.42578125" customWidth="1"/>
  </cols>
  <sheetData>
    <row r="1" spans="1:107" ht="26.1" customHeight="1" x14ac:dyDescent="0.25">
      <c r="A1" s="42" t="s">
        <v>62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</row>
    <row r="2" spans="1:107" ht="33.950000000000003" customHeight="1" x14ac:dyDescent="0.25">
      <c r="A2" s="46" t="s">
        <v>63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</row>
    <row r="3" spans="1:107" ht="14.1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  <c r="H3" s="27"/>
      <c r="I3" s="54" t="s">
        <v>64</v>
      </c>
      <c r="J3" s="43"/>
    </row>
    <row r="4" spans="1:107" x14ac:dyDescent="0.25">
      <c r="K4" s="9" t="s">
        <v>9</v>
      </c>
      <c r="L4" s="38" t="s">
        <v>10</v>
      </c>
      <c r="M4" s="39"/>
      <c r="N4" s="39"/>
      <c r="O4" s="39"/>
      <c r="P4" s="39"/>
      <c r="Q4" s="38" t="s">
        <v>11</v>
      </c>
      <c r="R4" s="39"/>
      <c r="S4" s="39"/>
      <c r="T4" s="39"/>
      <c r="U4" s="38" t="s">
        <v>12</v>
      </c>
      <c r="V4" s="39"/>
      <c r="W4" s="39"/>
      <c r="X4" s="39"/>
      <c r="Y4" s="38" t="s">
        <v>13</v>
      </c>
      <c r="Z4" s="39"/>
      <c r="AA4" s="39"/>
      <c r="AB4" s="39"/>
      <c r="AC4" s="39"/>
      <c r="AD4" s="38" t="s">
        <v>14</v>
      </c>
      <c r="AE4" s="39"/>
      <c r="AF4" s="39"/>
      <c r="AG4" s="39"/>
      <c r="AH4" s="38" t="s">
        <v>15</v>
      </c>
      <c r="AI4" s="39"/>
      <c r="AJ4" s="39"/>
      <c r="AK4" s="39"/>
      <c r="AL4" s="39"/>
      <c r="AM4" s="38" t="s">
        <v>16</v>
      </c>
      <c r="AN4" s="39"/>
      <c r="AO4" s="39"/>
      <c r="AP4" s="39"/>
      <c r="AQ4" s="38" t="s">
        <v>17</v>
      </c>
      <c r="AR4" s="39"/>
      <c r="AS4" s="39"/>
      <c r="AT4" s="39"/>
      <c r="AU4" s="38" t="s">
        <v>18</v>
      </c>
      <c r="AV4" s="39"/>
      <c r="AW4" s="39"/>
      <c r="AX4" s="39"/>
      <c r="AY4" s="39"/>
      <c r="AZ4" s="38" t="s">
        <v>19</v>
      </c>
      <c r="BA4" s="39"/>
      <c r="BB4" s="39"/>
      <c r="BC4" s="39"/>
      <c r="BD4" s="38" t="s">
        <v>20</v>
      </c>
      <c r="BE4" s="39"/>
      <c r="BF4" s="39"/>
      <c r="BG4" s="39"/>
      <c r="BH4" s="38" t="s">
        <v>9</v>
      </c>
      <c r="BI4" s="39"/>
      <c r="BJ4" s="39"/>
      <c r="BK4" s="39"/>
      <c r="BL4" s="38" t="s">
        <v>10</v>
      </c>
      <c r="BM4" s="39"/>
      <c r="BN4" s="39"/>
      <c r="BO4" s="39"/>
      <c r="BP4" s="39"/>
      <c r="BQ4" s="38" t="s">
        <v>11</v>
      </c>
      <c r="BR4" s="39"/>
      <c r="BS4" s="39"/>
      <c r="BT4" s="39"/>
      <c r="BU4" s="38" t="s">
        <v>12</v>
      </c>
      <c r="BV4" s="39"/>
      <c r="BW4" s="39"/>
      <c r="BX4" s="39"/>
      <c r="BY4" s="39"/>
      <c r="BZ4" s="38" t="s">
        <v>13</v>
      </c>
      <c r="CA4" s="39"/>
      <c r="CB4" s="39"/>
      <c r="CC4" s="39"/>
      <c r="CD4" s="38" t="s">
        <v>14</v>
      </c>
      <c r="CE4" s="39"/>
      <c r="CF4" s="39"/>
      <c r="CG4" s="39"/>
      <c r="CH4" s="38" t="s">
        <v>15</v>
      </c>
      <c r="CI4" s="39"/>
      <c r="CJ4" s="39"/>
      <c r="CK4" s="39"/>
      <c r="CL4" s="39"/>
      <c r="CM4" s="38" t="s">
        <v>16</v>
      </c>
      <c r="CN4" s="39"/>
      <c r="CO4" s="39"/>
      <c r="CP4" s="39"/>
      <c r="CQ4" s="38" t="s">
        <v>17</v>
      </c>
      <c r="CR4" s="39"/>
      <c r="CS4" s="39"/>
      <c r="CT4" s="39"/>
      <c r="CU4" s="38" t="s">
        <v>18</v>
      </c>
      <c r="CV4" s="39"/>
      <c r="CW4" s="39"/>
      <c r="CX4" s="39"/>
      <c r="CY4" s="39"/>
      <c r="CZ4" s="38" t="s">
        <v>19</v>
      </c>
      <c r="DA4" s="39"/>
      <c r="DB4" s="39"/>
      <c r="DC4" s="39"/>
    </row>
    <row r="5" spans="1:107" x14ac:dyDescent="0.25">
      <c r="A5" s="11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65</v>
      </c>
      <c r="G5" s="11" t="s">
        <v>66</v>
      </c>
      <c r="H5" s="11" t="s">
        <v>26</v>
      </c>
      <c r="I5" s="11" t="s">
        <v>27</v>
      </c>
      <c r="J5" s="11" t="s">
        <v>28</v>
      </c>
      <c r="K5" s="12">
        <v>46076</v>
      </c>
      <c r="L5" s="12">
        <v>46083</v>
      </c>
      <c r="M5" s="12">
        <v>46090</v>
      </c>
      <c r="N5" s="12">
        <v>46097</v>
      </c>
      <c r="O5" s="12">
        <v>46104</v>
      </c>
      <c r="P5" s="12">
        <v>46111</v>
      </c>
      <c r="Q5" s="12">
        <v>46118</v>
      </c>
      <c r="R5" s="12">
        <v>46125</v>
      </c>
      <c r="S5" s="12">
        <v>46132</v>
      </c>
      <c r="T5" s="12">
        <v>46139</v>
      </c>
      <c r="U5" s="12">
        <v>46146</v>
      </c>
      <c r="V5" s="12">
        <v>46153</v>
      </c>
      <c r="W5" s="12">
        <v>46160</v>
      </c>
      <c r="X5" s="12">
        <v>46167</v>
      </c>
      <c r="Y5" s="12">
        <v>46174</v>
      </c>
      <c r="Z5" s="12">
        <v>46181</v>
      </c>
      <c r="AA5" s="12">
        <v>46188</v>
      </c>
      <c r="AB5" s="12">
        <v>46195</v>
      </c>
      <c r="AC5" s="12">
        <v>46202</v>
      </c>
      <c r="AD5" s="12">
        <v>46209</v>
      </c>
      <c r="AE5" s="12">
        <v>46216</v>
      </c>
      <c r="AF5" s="12">
        <v>46223</v>
      </c>
      <c r="AG5" s="12">
        <v>46230</v>
      </c>
      <c r="AH5" s="12">
        <v>46237</v>
      </c>
      <c r="AI5" s="12">
        <v>46244</v>
      </c>
      <c r="AJ5" s="12">
        <v>46251</v>
      </c>
      <c r="AK5" s="12">
        <v>46258</v>
      </c>
      <c r="AL5" s="12">
        <v>46265</v>
      </c>
      <c r="AM5" s="12">
        <v>46272</v>
      </c>
      <c r="AN5" s="12">
        <v>46279</v>
      </c>
      <c r="AO5" s="12">
        <v>46286</v>
      </c>
      <c r="AP5" s="12">
        <v>46293</v>
      </c>
      <c r="AQ5" s="12">
        <v>46300</v>
      </c>
      <c r="AR5" s="12">
        <v>46307</v>
      </c>
      <c r="AS5" s="12">
        <v>46314</v>
      </c>
      <c r="AT5" s="12">
        <v>46321</v>
      </c>
      <c r="AU5" s="12">
        <v>46328</v>
      </c>
      <c r="AV5" s="12">
        <v>46335</v>
      </c>
      <c r="AW5" s="12">
        <v>46342</v>
      </c>
      <c r="AX5" s="12">
        <v>46349</v>
      </c>
      <c r="AY5" s="12">
        <v>46356</v>
      </c>
      <c r="AZ5" s="12">
        <v>46363</v>
      </c>
      <c r="BA5" s="12">
        <v>46370</v>
      </c>
      <c r="BB5" s="12">
        <v>46377</v>
      </c>
      <c r="BC5" s="12">
        <v>46384</v>
      </c>
      <c r="BD5" s="12">
        <v>46391</v>
      </c>
      <c r="BE5" s="12">
        <v>46398</v>
      </c>
      <c r="BF5" s="12">
        <v>46405</v>
      </c>
      <c r="BG5" s="12">
        <v>46412</v>
      </c>
      <c r="BH5" s="12">
        <v>46419</v>
      </c>
      <c r="BI5" s="12">
        <v>46426</v>
      </c>
      <c r="BJ5" s="12">
        <v>46433</v>
      </c>
      <c r="BK5" s="12">
        <v>46440</v>
      </c>
      <c r="BL5" s="12">
        <v>46447</v>
      </c>
      <c r="BM5" s="12">
        <v>46454</v>
      </c>
      <c r="BN5" s="12">
        <v>46461</v>
      </c>
      <c r="BO5" s="12">
        <v>46468</v>
      </c>
      <c r="BP5" s="12">
        <v>46475</v>
      </c>
      <c r="BQ5" s="12">
        <v>46482</v>
      </c>
      <c r="BR5" s="12">
        <v>46489</v>
      </c>
      <c r="BS5" s="12">
        <v>46496</v>
      </c>
      <c r="BT5" s="12">
        <v>46503</v>
      </c>
      <c r="BU5" s="12">
        <v>46510</v>
      </c>
      <c r="BV5" s="12">
        <v>46517</v>
      </c>
      <c r="BW5" s="12">
        <v>46524</v>
      </c>
      <c r="BX5" s="12">
        <v>46531</v>
      </c>
      <c r="BY5" s="12">
        <v>46538</v>
      </c>
      <c r="BZ5" s="12">
        <v>46545</v>
      </c>
      <c r="CA5" s="12">
        <v>46552</v>
      </c>
      <c r="CB5" s="12">
        <v>46559</v>
      </c>
      <c r="CC5" s="12">
        <v>46566</v>
      </c>
      <c r="CD5" s="12">
        <v>46573</v>
      </c>
      <c r="CE5" s="12">
        <v>46580</v>
      </c>
      <c r="CF5" s="12">
        <v>46587</v>
      </c>
      <c r="CG5" s="12">
        <v>46594</v>
      </c>
      <c r="CH5" s="12">
        <v>46601</v>
      </c>
      <c r="CI5" s="12">
        <v>46608</v>
      </c>
      <c r="CJ5" s="12">
        <v>46615</v>
      </c>
      <c r="CK5" s="12">
        <v>46622</v>
      </c>
      <c r="CL5" s="12">
        <v>46629</v>
      </c>
      <c r="CM5" s="12">
        <v>46636</v>
      </c>
      <c r="CN5" s="12">
        <v>46643</v>
      </c>
      <c r="CO5" s="12">
        <v>46650</v>
      </c>
      <c r="CP5" s="12">
        <v>46657</v>
      </c>
      <c r="CQ5" s="12">
        <v>46664</v>
      </c>
      <c r="CR5" s="12">
        <v>46671</v>
      </c>
      <c r="CS5" s="12">
        <v>46678</v>
      </c>
      <c r="CT5" s="12">
        <v>46685</v>
      </c>
      <c r="CU5" s="12">
        <v>46692</v>
      </c>
      <c r="CV5" s="12">
        <v>46699</v>
      </c>
      <c r="CW5" s="12">
        <v>46706</v>
      </c>
      <c r="CX5" s="12">
        <v>46713</v>
      </c>
      <c r="CY5" s="12">
        <v>46720</v>
      </c>
      <c r="CZ5" s="12">
        <v>46727</v>
      </c>
      <c r="DA5" s="12">
        <v>46734</v>
      </c>
      <c r="DB5" s="12">
        <v>46741</v>
      </c>
      <c r="DC5" s="12">
        <v>46748</v>
      </c>
    </row>
    <row r="6" spans="1:107" ht="18" customHeight="1" x14ac:dyDescent="0.25">
      <c r="A6" s="40" t="s">
        <v>29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</row>
    <row r="7" spans="1:107" ht="20.100000000000001" customHeight="1" x14ac:dyDescent="0.25">
      <c r="A7" s="13">
        <v>1</v>
      </c>
      <c r="B7" s="14" t="s">
        <v>30</v>
      </c>
      <c r="C7" s="15" t="s">
        <v>67</v>
      </c>
      <c r="D7" s="16">
        <v>46113</v>
      </c>
      <c r="E7" s="16">
        <v>46660</v>
      </c>
      <c r="H7" s="17">
        <f>IF(AND(ISNUMBER($D7),ISNUMBER($E7)),$E7-$D7+1,"")</f>
        <v>548</v>
      </c>
      <c r="I7" s="18"/>
      <c r="J7" s="19" t="s">
        <v>31</v>
      </c>
    </row>
    <row r="8" spans="1:107" ht="12.95" customHeight="1" x14ac:dyDescent="0.25">
      <c r="F8" s="16">
        <v>46113</v>
      </c>
      <c r="G8" s="16">
        <v>46660</v>
      </c>
    </row>
    <row r="9" spans="1:107" ht="18" customHeight="1" x14ac:dyDescent="0.25">
      <c r="A9" s="40" t="s">
        <v>32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</row>
    <row r="10" spans="1:107" ht="20.100000000000001" customHeight="1" x14ac:dyDescent="0.25">
      <c r="A10" s="13">
        <v>2</v>
      </c>
      <c r="B10" s="14" t="s">
        <v>33</v>
      </c>
      <c r="C10" s="15" t="s">
        <v>67</v>
      </c>
      <c r="D10" s="16">
        <v>46288</v>
      </c>
      <c r="E10" s="16">
        <v>46293</v>
      </c>
      <c r="H10" s="17">
        <f>IF(AND(ISNUMBER($D10),ISNUMBER($E10)),$E10-$D10+1,"")</f>
        <v>6</v>
      </c>
      <c r="I10" s="18"/>
      <c r="J10" s="19" t="s">
        <v>34</v>
      </c>
    </row>
    <row r="11" spans="1:107" ht="12.95" customHeight="1" x14ac:dyDescent="0.25">
      <c r="F11" s="16">
        <v>46288</v>
      </c>
      <c r="G11" s="16">
        <v>46293</v>
      </c>
    </row>
    <row r="12" spans="1:107" ht="20.100000000000001" customHeight="1" x14ac:dyDescent="0.25">
      <c r="A12" s="13">
        <v>3</v>
      </c>
      <c r="B12" s="14" t="s">
        <v>35</v>
      </c>
      <c r="C12" s="28" t="s">
        <v>68</v>
      </c>
      <c r="D12" s="16">
        <v>46296</v>
      </c>
      <c r="E12" s="16">
        <v>46376</v>
      </c>
      <c r="H12" s="17">
        <f>IF(AND(ISNUMBER($D12),ISNUMBER($E12)),$E12-$D12+1,"")</f>
        <v>81</v>
      </c>
      <c r="I12" s="18"/>
      <c r="J12" s="19" t="s">
        <v>36</v>
      </c>
    </row>
    <row r="13" spans="1:107" ht="12.95" customHeight="1" x14ac:dyDescent="0.25">
      <c r="F13" s="29" t="s">
        <v>46</v>
      </c>
      <c r="G13" s="17"/>
    </row>
    <row r="14" spans="1:107" ht="20.100000000000001" customHeight="1" x14ac:dyDescent="0.25">
      <c r="A14" s="13">
        <v>4</v>
      </c>
      <c r="B14" s="14" t="s">
        <v>37</v>
      </c>
      <c r="C14" s="28" t="s">
        <v>68</v>
      </c>
      <c r="D14" s="16">
        <v>46391</v>
      </c>
      <c r="E14" s="16">
        <v>46461</v>
      </c>
      <c r="H14" s="17">
        <f>IF(AND(ISNUMBER($D14),ISNUMBER($E14)),$E14-$D14+1,"")</f>
        <v>71</v>
      </c>
      <c r="I14" s="18"/>
      <c r="J14" s="19" t="s">
        <v>38</v>
      </c>
    </row>
    <row r="15" spans="1:107" ht="12.95" customHeight="1" x14ac:dyDescent="0.25">
      <c r="F15" s="29" t="s">
        <v>46</v>
      </c>
      <c r="G15" s="17"/>
    </row>
    <row r="16" spans="1:107" ht="20.100000000000001" customHeight="1" x14ac:dyDescent="0.25">
      <c r="A16" s="13">
        <v>5</v>
      </c>
      <c r="B16" s="14" t="s">
        <v>39</v>
      </c>
      <c r="C16" s="28" t="s">
        <v>68</v>
      </c>
      <c r="D16" s="16">
        <v>46466</v>
      </c>
      <c r="E16" s="16">
        <v>46507</v>
      </c>
      <c r="H16" s="17">
        <f>IF(AND(ISNUMBER($D16),ISNUMBER($E16)),$E16-$D16+1,"")</f>
        <v>42</v>
      </c>
      <c r="I16" s="18"/>
      <c r="J16" s="19" t="s">
        <v>38</v>
      </c>
    </row>
    <row r="17" spans="1:107" ht="12.95" customHeight="1" x14ac:dyDescent="0.25">
      <c r="F17" s="29" t="s">
        <v>46</v>
      </c>
      <c r="G17" s="17"/>
    </row>
    <row r="18" spans="1:107" ht="18" customHeight="1" x14ac:dyDescent="0.25">
      <c r="A18" s="40" t="s">
        <v>40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</row>
    <row r="19" spans="1:107" ht="20.100000000000001" customHeight="1" x14ac:dyDescent="0.25">
      <c r="A19" s="13">
        <v>6</v>
      </c>
      <c r="B19" s="14" t="s">
        <v>41</v>
      </c>
      <c r="C19" s="30" t="s">
        <v>69</v>
      </c>
      <c r="D19" s="16">
        <v>46113</v>
      </c>
      <c r="E19" s="16">
        <v>46203</v>
      </c>
      <c r="H19" s="17">
        <f>IF(AND(ISNUMBER($D19),ISNUMBER($E19)),$E19-$D19+1,"")</f>
        <v>91</v>
      </c>
      <c r="I19" s="20">
        <v>46143</v>
      </c>
      <c r="J19" s="19" t="s">
        <v>42</v>
      </c>
    </row>
    <row r="20" spans="1:107" ht="12.95" customHeight="1" x14ac:dyDescent="0.25">
      <c r="F20" s="29" t="s">
        <v>46</v>
      </c>
      <c r="G20" s="17"/>
    </row>
    <row r="21" spans="1:107" ht="20.100000000000001" customHeight="1" x14ac:dyDescent="0.25">
      <c r="A21" s="13">
        <v>7</v>
      </c>
      <c r="B21" s="14" t="s">
        <v>43</v>
      </c>
      <c r="C21" s="28" t="s">
        <v>68</v>
      </c>
      <c r="D21" s="16">
        <v>46113</v>
      </c>
      <c r="E21" s="16">
        <v>46356</v>
      </c>
      <c r="H21" s="17">
        <f>IF(AND(ISNUMBER($D21),ISNUMBER($E21)),$E21-$D21+1,"")</f>
        <v>244</v>
      </c>
      <c r="I21" s="21">
        <v>46286</v>
      </c>
      <c r="J21" s="19" t="s">
        <v>44</v>
      </c>
    </row>
    <row r="22" spans="1:107" ht="12.95" customHeight="1" x14ac:dyDescent="0.25">
      <c r="F22" s="16">
        <v>46304</v>
      </c>
      <c r="G22" s="16">
        <v>46304</v>
      </c>
    </row>
    <row r="23" spans="1:107" ht="20.100000000000001" customHeight="1" x14ac:dyDescent="0.25">
      <c r="A23" s="13">
        <v>8</v>
      </c>
      <c r="B23" s="14" t="s">
        <v>45</v>
      </c>
      <c r="C23" s="28" t="s">
        <v>68</v>
      </c>
      <c r="D23" s="16">
        <v>46357</v>
      </c>
      <c r="E23" s="16">
        <v>46477</v>
      </c>
      <c r="H23" s="17">
        <f>IF(AND(ISNUMBER($D23),ISNUMBER($E23)),$E23-$D23+1,"")</f>
        <v>121</v>
      </c>
      <c r="I23" s="22" t="s">
        <v>46</v>
      </c>
      <c r="J23" s="19" t="s">
        <v>38</v>
      </c>
    </row>
    <row r="24" spans="1:107" ht="12.95" customHeight="1" x14ac:dyDescent="0.25">
      <c r="F24" s="29" t="s">
        <v>46</v>
      </c>
      <c r="G24" s="17"/>
    </row>
    <row r="25" spans="1:107" ht="18" customHeight="1" x14ac:dyDescent="0.25">
      <c r="A25" s="40" t="s">
        <v>47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</row>
    <row r="26" spans="1:107" ht="20.100000000000001" customHeight="1" x14ac:dyDescent="0.25">
      <c r="A26" s="13">
        <v>9</v>
      </c>
      <c r="B26" s="14" t="s">
        <v>48</v>
      </c>
      <c r="C26" s="28" t="s">
        <v>68</v>
      </c>
      <c r="D26" s="16">
        <v>46510</v>
      </c>
      <c r="E26" s="16">
        <v>46563</v>
      </c>
      <c r="H26" s="17">
        <f>IF(AND(ISNUMBER($D26),ISNUMBER($E26)),$E26-$D26+1,"")</f>
        <v>54</v>
      </c>
      <c r="I26" s="18"/>
    </row>
    <row r="27" spans="1:107" ht="12.95" customHeight="1" x14ac:dyDescent="0.25">
      <c r="F27" s="29" t="s">
        <v>46</v>
      </c>
      <c r="G27" s="17"/>
    </row>
    <row r="28" spans="1:107" ht="20.100000000000001" customHeight="1" x14ac:dyDescent="0.25">
      <c r="A28" s="13">
        <v>10</v>
      </c>
      <c r="B28" s="14" t="s">
        <v>49</v>
      </c>
      <c r="C28" s="28" t="s">
        <v>68</v>
      </c>
      <c r="D28" s="16">
        <v>46564</v>
      </c>
      <c r="E28" s="16">
        <v>46568</v>
      </c>
      <c r="H28" s="17">
        <f>IF(AND(ISNUMBER($D28),ISNUMBER($E28)),$E28-$D28+1,"")</f>
        <v>5</v>
      </c>
      <c r="I28" s="18"/>
      <c r="J28" s="19" t="s">
        <v>50</v>
      </c>
    </row>
    <row r="29" spans="1:107" ht="12.95" customHeight="1" x14ac:dyDescent="0.25">
      <c r="F29" s="29" t="s">
        <v>46</v>
      </c>
      <c r="G29" s="17"/>
    </row>
    <row r="30" spans="1:107" ht="20.100000000000001" customHeight="1" x14ac:dyDescent="0.25">
      <c r="A30" s="13">
        <v>11</v>
      </c>
      <c r="B30" s="14" t="s">
        <v>51</v>
      </c>
      <c r="C30" s="28" t="s">
        <v>68</v>
      </c>
      <c r="D30" s="16">
        <v>46569</v>
      </c>
      <c r="E30" s="16">
        <v>46599</v>
      </c>
      <c r="H30" s="17">
        <f>IF(AND(ISNUMBER($D30),ISNUMBER($E30)),$E30-$D30+1,"")</f>
        <v>31</v>
      </c>
      <c r="I30" s="18"/>
      <c r="J30" s="19" t="s">
        <v>52</v>
      </c>
    </row>
    <row r="31" spans="1:107" ht="12.95" customHeight="1" x14ac:dyDescent="0.25">
      <c r="F31" s="29" t="s">
        <v>46</v>
      </c>
      <c r="G31" s="17"/>
    </row>
    <row r="32" spans="1:107" ht="18" customHeight="1" x14ac:dyDescent="0.25">
      <c r="A32" s="40" t="s">
        <v>53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</row>
    <row r="33" spans="1:107" ht="20.100000000000001" customHeight="1" x14ac:dyDescent="0.25">
      <c r="A33" s="13">
        <v>12</v>
      </c>
      <c r="B33" s="14" t="s">
        <v>54</v>
      </c>
      <c r="C33" s="28" t="s">
        <v>68</v>
      </c>
      <c r="D33" s="31" t="s">
        <v>46</v>
      </c>
      <c r="E33" s="17"/>
      <c r="H33" s="17" t="str">
        <f>IF(AND(ISNUMBER($D33),ISNUMBER($E33)),$E33-$D33+1,"")</f>
        <v/>
      </c>
      <c r="I33" s="18"/>
      <c r="J33" s="19" t="s">
        <v>55</v>
      </c>
    </row>
    <row r="34" spans="1:107" ht="12.95" customHeight="1" x14ac:dyDescent="0.25">
      <c r="F34" s="29" t="s">
        <v>46</v>
      </c>
      <c r="G34" s="17"/>
    </row>
    <row r="35" spans="1:107" ht="18" customHeight="1" x14ac:dyDescent="0.25">
      <c r="A35" s="44" t="s">
        <v>56</v>
      </c>
      <c r="B35" s="45"/>
      <c r="C35" s="23"/>
      <c r="D35" s="24">
        <v>46569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</row>
    <row r="37" spans="1:107" ht="20.100000000000001" customHeight="1" x14ac:dyDescent="0.25">
      <c r="A37" s="52" t="s">
        <v>70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</row>
    <row r="38" spans="1:107" ht="18" customHeight="1" x14ac:dyDescent="0.25">
      <c r="A38" s="53" t="s">
        <v>71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</row>
    <row r="39" spans="1:107" ht="14.1" customHeight="1" x14ac:dyDescent="0.25">
      <c r="A39" s="10"/>
      <c r="B39" s="32" t="s">
        <v>72</v>
      </c>
      <c r="C39" s="10"/>
      <c r="D39" s="10"/>
      <c r="E39" s="10"/>
      <c r="F39" s="10"/>
      <c r="G39" s="10"/>
      <c r="H39" s="10"/>
      <c r="I39" s="10"/>
      <c r="J39" s="10"/>
      <c r="K39" s="33" t="s">
        <v>73</v>
      </c>
      <c r="L39" s="49" t="s">
        <v>74</v>
      </c>
      <c r="M39" s="48"/>
      <c r="N39" s="48"/>
      <c r="O39" s="48"/>
      <c r="P39" s="48"/>
      <c r="Q39" s="49" t="s">
        <v>75</v>
      </c>
      <c r="R39" s="48"/>
      <c r="S39" s="48"/>
      <c r="T39" s="48"/>
      <c r="U39" s="49" t="s">
        <v>76</v>
      </c>
      <c r="V39" s="48"/>
      <c r="W39" s="48"/>
      <c r="X39" s="48"/>
      <c r="Y39" s="49" t="s">
        <v>77</v>
      </c>
      <c r="Z39" s="48"/>
      <c r="AA39" s="48"/>
      <c r="AB39" s="48"/>
      <c r="AC39" s="48"/>
      <c r="AD39" s="49" t="s">
        <v>78</v>
      </c>
      <c r="AE39" s="48"/>
      <c r="AF39" s="48"/>
      <c r="AG39" s="48"/>
      <c r="AH39" s="49" t="s">
        <v>79</v>
      </c>
      <c r="AI39" s="48"/>
      <c r="AJ39" s="48"/>
      <c r="AK39" s="48"/>
      <c r="AL39" s="48"/>
      <c r="AM39" s="49" t="s">
        <v>80</v>
      </c>
      <c r="AN39" s="48"/>
      <c r="AO39" s="48"/>
      <c r="AP39" s="48"/>
      <c r="AQ39" s="49" t="s">
        <v>81</v>
      </c>
      <c r="AR39" s="48"/>
      <c r="AS39" s="48"/>
      <c r="AT39" s="48"/>
      <c r="AU39" s="49" t="s">
        <v>82</v>
      </c>
      <c r="AV39" s="48"/>
      <c r="AW39" s="48"/>
      <c r="AX39" s="48"/>
      <c r="AY39" s="48"/>
      <c r="AZ39" s="49" t="s">
        <v>83</v>
      </c>
      <c r="BA39" s="48"/>
      <c r="BB39" s="48"/>
      <c r="BC39" s="48"/>
      <c r="BD39" s="49" t="s">
        <v>84</v>
      </c>
      <c r="BE39" s="48"/>
      <c r="BF39" s="48"/>
      <c r="BG39" s="48"/>
      <c r="BH39" s="49" t="s">
        <v>85</v>
      </c>
      <c r="BI39" s="48"/>
      <c r="BJ39" s="48"/>
      <c r="BK39" s="48"/>
      <c r="BL39" s="49" t="s">
        <v>86</v>
      </c>
      <c r="BM39" s="48"/>
      <c r="BN39" s="48"/>
      <c r="BO39" s="48"/>
      <c r="BP39" s="48"/>
      <c r="BQ39" s="49" t="s">
        <v>87</v>
      </c>
      <c r="BR39" s="48"/>
      <c r="BS39" s="48"/>
      <c r="BT39" s="48"/>
      <c r="BU39" s="49" t="s">
        <v>88</v>
      </c>
      <c r="BV39" s="48"/>
      <c r="BW39" s="48"/>
      <c r="BX39" s="48"/>
      <c r="BY39" s="48"/>
      <c r="BZ39" s="49" t="s">
        <v>89</v>
      </c>
      <c r="CA39" s="48"/>
      <c r="CB39" s="48"/>
      <c r="CC39" s="48"/>
      <c r="CD39" s="49" t="s">
        <v>90</v>
      </c>
      <c r="CE39" s="48"/>
      <c r="CF39" s="48"/>
      <c r="CG39" s="48"/>
      <c r="CH39" s="49" t="s">
        <v>91</v>
      </c>
      <c r="CI39" s="48"/>
      <c r="CJ39" s="48"/>
      <c r="CK39" s="48"/>
      <c r="CL39" s="48"/>
      <c r="CM39" s="49" t="s">
        <v>92</v>
      </c>
      <c r="CN39" s="48"/>
      <c r="CO39" s="48"/>
      <c r="CP39" s="48"/>
      <c r="CQ39" s="49" t="s">
        <v>93</v>
      </c>
      <c r="CR39" s="48"/>
      <c r="CS39" s="48"/>
      <c r="CT39" s="48"/>
      <c r="CU39" s="49" t="s">
        <v>94</v>
      </c>
      <c r="CV39" s="48"/>
      <c r="CW39" s="48"/>
      <c r="CX39" s="48"/>
      <c r="CY39" s="48"/>
      <c r="CZ39" s="49" t="s">
        <v>95</v>
      </c>
      <c r="DA39" s="48"/>
      <c r="DB39" s="48"/>
      <c r="DC39" s="48"/>
    </row>
    <row r="40" spans="1:107" ht="14.1" customHeight="1" x14ac:dyDescent="0.25">
      <c r="B40" s="34" t="s">
        <v>96</v>
      </c>
      <c r="K40" s="35">
        <v>0</v>
      </c>
      <c r="L40" s="47">
        <v>0</v>
      </c>
      <c r="M40" s="48"/>
      <c r="N40" s="48"/>
      <c r="O40" s="48"/>
      <c r="P40" s="48"/>
      <c r="Q40" s="47">
        <v>0.2</v>
      </c>
      <c r="R40" s="48"/>
      <c r="S40" s="48"/>
      <c r="T40" s="48"/>
      <c r="U40" s="47">
        <v>0.1</v>
      </c>
      <c r="V40" s="48"/>
      <c r="W40" s="48"/>
      <c r="X40" s="48"/>
      <c r="Y40" s="47">
        <v>0.11</v>
      </c>
      <c r="Z40" s="48"/>
      <c r="AA40" s="48"/>
      <c r="AB40" s="48"/>
      <c r="AC40" s="48"/>
      <c r="AD40" s="47">
        <v>0.11</v>
      </c>
      <c r="AE40" s="48"/>
      <c r="AF40" s="48"/>
      <c r="AG40" s="48"/>
      <c r="AH40" s="47">
        <v>0.1</v>
      </c>
      <c r="AI40" s="48"/>
      <c r="AJ40" s="48"/>
      <c r="AK40" s="48"/>
      <c r="AL40" s="48"/>
      <c r="AM40" s="47">
        <v>0.2</v>
      </c>
      <c r="AN40" s="48"/>
      <c r="AO40" s="48"/>
      <c r="AP40" s="48"/>
      <c r="AQ40" s="47">
        <v>0.2</v>
      </c>
      <c r="AR40" s="48"/>
      <c r="AS40" s="48"/>
      <c r="AT40" s="48"/>
      <c r="AU40" s="47">
        <v>0.2</v>
      </c>
      <c r="AV40" s="48"/>
      <c r="AW40" s="48"/>
      <c r="AX40" s="48"/>
      <c r="AY40" s="48"/>
      <c r="AZ40" s="47">
        <v>0.2</v>
      </c>
      <c r="BA40" s="48"/>
      <c r="BB40" s="48"/>
      <c r="BC40" s="48"/>
      <c r="BD40" s="47">
        <v>0.2</v>
      </c>
      <c r="BE40" s="48"/>
      <c r="BF40" s="48"/>
      <c r="BG40" s="48"/>
      <c r="BH40" s="47">
        <v>0.1</v>
      </c>
      <c r="BI40" s="48"/>
      <c r="BJ40" s="48"/>
      <c r="BK40" s="48"/>
      <c r="BL40" s="47">
        <v>0.11</v>
      </c>
      <c r="BM40" s="48"/>
      <c r="BN40" s="48"/>
      <c r="BO40" s="48"/>
      <c r="BP40" s="48"/>
      <c r="BQ40" s="47">
        <v>0.11</v>
      </c>
      <c r="BR40" s="48"/>
      <c r="BS40" s="48"/>
      <c r="BT40" s="48"/>
      <c r="BU40" s="47">
        <v>0.1</v>
      </c>
      <c r="BV40" s="48"/>
      <c r="BW40" s="48"/>
      <c r="BX40" s="48"/>
      <c r="BY40" s="48"/>
      <c r="BZ40" s="47">
        <v>0.2</v>
      </c>
      <c r="CA40" s="48"/>
      <c r="CB40" s="48"/>
      <c r="CC40" s="48"/>
      <c r="CD40" s="47">
        <v>0.2</v>
      </c>
      <c r="CE40" s="48"/>
      <c r="CF40" s="48"/>
      <c r="CG40" s="48"/>
      <c r="CH40" s="47">
        <v>0.2</v>
      </c>
      <c r="CI40" s="48"/>
      <c r="CJ40" s="48"/>
      <c r="CK40" s="48"/>
      <c r="CL40" s="48"/>
      <c r="CM40" s="47">
        <v>0.2</v>
      </c>
      <c r="CN40" s="48"/>
      <c r="CO40" s="48"/>
      <c r="CP40" s="48"/>
      <c r="CQ40" s="47">
        <v>0</v>
      </c>
      <c r="CR40" s="48"/>
      <c r="CS40" s="48"/>
      <c r="CT40" s="48"/>
      <c r="CU40" s="47">
        <v>0</v>
      </c>
      <c r="CV40" s="48"/>
      <c r="CW40" s="48"/>
      <c r="CX40" s="48"/>
      <c r="CY40" s="48"/>
      <c r="CZ40" s="47">
        <v>0</v>
      </c>
      <c r="DA40" s="48"/>
      <c r="DB40" s="48"/>
      <c r="DC40" s="48"/>
    </row>
    <row r="41" spans="1:107" ht="14.1" customHeight="1" x14ac:dyDescent="0.25">
      <c r="B41" s="34" t="s">
        <v>97</v>
      </c>
      <c r="K41" s="35">
        <v>0</v>
      </c>
      <c r="L41" s="47">
        <v>0</v>
      </c>
      <c r="M41" s="48"/>
      <c r="N41" s="48"/>
      <c r="O41" s="48"/>
      <c r="P41" s="48"/>
      <c r="Q41" s="47">
        <v>0.4</v>
      </c>
      <c r="R41" s="48"/>
      <c r="S41" s="48"/>
      <c r="T41" s="48"/>
      <c r="U41" s="47">
        <v>0.4</v>
      </c>
      <c r="V41" s="48"/>
      <c r="W41" s="48"/>
      <c r="X41" s="48"/>
      <c r="Y41" s="47">
        <v>0.4</v>
      </c>
      <c r="Z41" s="48"/>
      <c r="AA41" s="48"/>
      <c r="AB41" s="48"/>
      <c r="AC41" s="48"/>
      <c r="AD41" s="47">
        <v>0.4</v>
      </c>
      <c r="AE41" s="48"/>
      <c r="AF41" s="48"/>
      <c r="AG41" s="48"/>
      <c r="AH41" s="47">
        <v>0.4</v>
      </c>
      <c r="AI41" s="48"/>
      <c r="AJ41" s="48"/>
      <c r="AK41" s="48"/>
      <c r="AL41" s="48"/>
      <c r="AM41" s="47">
        <v>0.4</v>
      </c>
      <c r="AN41" s="48"/>
      <c r="AO41" s="48"/>
      <c r="AP41" s="48"/>
      <c r="AQ41" s="47">
        <v>0.4</v>
      </c>
      <c r="AR41" s="48"/>
      <c r="AS41" s="48"/>
      <c r="AT41" s="48"/>
      <c r="AU41" s="47">
        <v>0.4</v>
      </c>
      <c r="AV41" s="48"/>
      <c r="AW41" s="48"/>
      <c r="AX41" s="48"/>
      <c r="AY41" s="48"/>
      <c r="AZ41" s="47">
        <v>0.4</v>
      </c>
      <c r="BA41" s="48"/>
      <c r="BB41" s="48"/>
      <c r="BC41" s="48"/>
      <c r="BD41" s="47">
        <v>0.4</v>
      </c>
      <c r="BE41" s="48"/>
      <c r="BF41" s="48"/>
      <c r="BG41" s="48"/>
      <c r="BH41" s="47">
        <v>0.4</v>
      </c>
      <c r="BI41" s="48"/>
      <c r="BJ41" s="48"/>
      <c r="BK41" s="48"/>
      <c r="BL41" s="47">
        <v>0.4</v>
      </c>
      <c r="BM41" s="48"/>
      <c r="BN41" s="48"/>
      <c r="BO41" s="48"/>
      <c r="BP41" s="48"/>
      <c r="BQ41" s="47">
        <v>0.4</v>
      </c>
      <c r="BR41" s="48"/>
      <c r="BS41" s="48"/>
      <c r="BT41" s="48"/>
      <c r="BU41" s="47">
        <v>0.4</v>
      </c>
      <c r="BV41" s="48"/>
      <c r="BW41" s="48"/>
      <c r="BX41" s="48"/>
      <c r="BY41" s="48"/>
      <c r="BZ41" s="47">
        <v>0.4</v>
      </c>
      <c r="CA41" s="48"/>
      <c r="CB41" s="48"/>
      <c r="CC41" s="48"/>
      <c r="CD41" s="47">
        <v>0.4</v>
      </c>
      <c r="CE41" s="48"/>
      <c r="CF41" s="48"/>
      <c r="CG41" s="48"/>
      <c r="CH41" s="47">
        <v>0.4</v>
      </c>
      <c r="CI41" s="48"/>
      <c r="CJ41" s="48"/>
      <c r="CK41" s="48"/>
      <c r="CL41" s="48"/>
      <c r="CM41" s="47">
        <v>0.4</v>
      </c>
      <c r="CN41" s="48"/>
      <c r="CO41" s="48"/>
      <c r="CP41" s="48"/>
      <c r="CQ41" s="47">
        <v>0</v>
      </c>
      <c r="CR41" s="48"/>
      <c r="CS41" s="48"/>
      <c r="CT41" s="48"/>
      <c r="CU41" s="47">
        <v>0</v>
      </c>
      <c r="CV41" s="48"/>
      <c r="CW41" s="48"/>
      <c r="CX41" s="48"/>
      <c r="CY41" s="48"/>
      <c r="CZ41" s="47">
        <v>0</v>
      </c>
      <c r="DA41" s="48"/>
      <c r="DB41" s="48"/>
      <c r="DC41" s="48"/>
    </row>
    <row r="42" spans="1:107" ht="14.1" customHeight="1" x14ac:dyDescent="0.25">
      <c r="B42" s="34" t="s">
        <v>98</v>
      </c>
      <c r="K42" s="35">
        <v>0</v>
      </c>
      <c r="L42" s="47">
        <v>0</v>
      </c>
      <c r="M42" s="48"/>
      <c r="N42" s="48"/>
      <c r="O42" s="48"/>
      <c r="P42" s="48"/>
      <c r="Q42" s="47">
        <v>0.95</v>
      </c>
      <c r="R42" s="48"/>
      <c r="S42" s="48"/>
      <c r="T42" s="48"/>
      <c r="U42" s="47">
        <v>0.95</v>
      </c>
      <c r="V42" s="48"/>
      <c r="W42" s="48"/>
      <c r="X42" s="48"/>
      <c r="Y42" s="47">
        <v>0.5</v>
      </c>
      <c r="Z42" s="48"/>
      <c r="AA42" s="48"/>
      <c r="AB42" s="48"/>
      <c r="AC42" s="48"/>
      <c r="AD42" s="47">
        <v>0.5</v>
      </c>
      <c r="AE42" s="48"/>
      <c r="AF42" s="48"/>
      <c r="AG42" s="48"/>
      <c r="AH42" s="47">
        <v>0.95</v>
      </c>
      <c r="AI42" s="48"/>
      <c r="AJ42" s="48"/>
      <c r="AK42" s="48"/>
      <c r="AL42" s="48"/>
      <c r="AM42" s="47">
        <v>1</v>
      </c>
      <c r="AN42" s="48"/>
      <c r="AO42" s="48"/>
      <c r="AP42" s="48"/>
      <c r="AQ42" s="47">
        <v>1</v>
      </c>
      <c r="AR42" s="48"/>
      <c r="AS42" s="48"/>
      <c r="AT42" s="48"/>
      <c r="AU42" s="47">
        <v>1</v>
      </c>
      <c r="AV42" s="48"/>
      <c r="AW42" s="48"/>
      <c r="AX42" s="48"/>
      <c r="AY42" s="48"/>
      <c r="AZ42" s="47">
        <v>1</v>
      </c>
      <c r="BA42" s="48"/>
      <c r="BB42" s="48"/>
      <c r="BC42" s="48"/>
      <c r="BD42" s="47">
        <v>0.95</v>
      </c>
      <c r="BE42" s="48"/>
      <c r="BF42" s="48"/>
      <c r="BG42" s="48"/>
      <c r="BH42" s="47">
        <v>0.95</v>
      </c>
      <c r="BI42" s="48"/>
      <c r="BJ42" s="48"/>
      <c r="BK42" s="48"/>
      <c r="BL42" s="47">
        <v>0.5</v>
      </c>
      <c r="BM42" s="48"/>
      <c r="BN42" s="48"/>
      <c r="BO42" s="48"/>
      <c r="BP42" s="48"/>
      <c r="BQ42" s="47">
        <v>0.5</v>
      </c>
      <c r="BR42" s="48"/>
      <c r="BS42" s="48"/>
      <c r="BT42" s="48"/>
      <c r="BU42" s="47">
        <v>0.95</v>
      </c>
      <c r="BV42" s="48"/>
      <c r="BW42" s="48"/>
      <c r="BX42" s="48"/>
      <c r="BY42" s="48"/>
      <c r="BZ42" s="47">
        <v>1</v>
      </c>
      <c r="CA42" s="48"/>
      <c r="CB42" s="48"/>
      <c r="CC42" s="48"/>
      <c r="CD42" s="47">
        <v>1</v>
      </c>
      <c r="CE42" s="48"/>
      <c r="CF42" s="48"/>
      <c r="CG42" s="48"/>
      <c r="CH42" s="47">
        <v>1</v>
      </c>
      <c r="CI42" s="48"/>
      <c r="CJ42" s="48"/>
      <c r="CK42" s="48"/>
      <c r="CL42" s="48"/>
      <c r="CM42" s="47">
        <v>1</v>
      </c>
      <c r="CN42" s="48"/>
      <c r="CO42" s="48"/>
      <c r="CP42" s="48"/>
      <c r="CQ42" s="47">
        <v>0</v>
      </c>
      <c r="CR42" s="48"/>
      <c r="CS42" s="48"/>
      <c r="CT42" s="48"/>
      <c r="CU42" s="47">
        <v>0</v>
      </c>
      <c r="CV42" s="48"/>
      <c r="CW42" s="48"/>
      <c r="CX42" s="48"/>
      <c r="CY42" s="48"/>
      <c r="CZ42" s="47">
        <v>0</v>
      </c>
      <c r="DA42" s="48"/>
      <c r="DB42" s="48"/>
      <c r="DC42" s="48"/>
    </row>
    <row r="43" spans="1:107" ht="14.1" customHeight="1" x14ac:dyDescent="0.25">
      <c r="B43" s="34" t="s">
        <v>99</v>
      </c>
      <c r="K43" s="35">
        <v>0</v>
      </c>
      <c r="L43" s="47">
        <v>0</v>
      </c>
      <c r="M43" s="48"/>
      <c r="N43" s="48"/>
      <c r="O43" s="48"/>
      <c r="P43" s="48"/>
      <c r="Q43" s="47">
        <v>1</v>
      </c>
      <c r="R43" s="48"/>
      <c r="S43" s="48"/>
      <c r="T43" s="48"/>
      <c r="U43" s="47">
        <v>1</v>
      </c>
      <c r="V43" s="48"/>
      <c r="W43" s="48"/>
      <c r="X43" s="48"/>
      <c r="Y43" s="47">
        <v>1</v>
      </c>
      <c r="Z43" s="48"/>
      <c r="AA43" s="48"/>
      <c r="AB43" s="48"/>
      <c r="AC43" s="48"/>
      <c r="AD43" s="47">
        <v>1</v>
      </c>
      <c r="AE43" s="48"/>
      <c r="AF43" s="48"/>
      <c r="AG43" s="48"/>
      <c r="AH43" s="47">
        <v>1</v>
      </c>
      <c r="AI43" s="48"/>
      <c r="AJ43" s="48"/>
      <c r="AK43" s="48"/>
      <c r="AL43" s="48"/>
      <c r="AM43" s="47">
        <v>1</v>
      </c>
      <c r="AN43" s="48"/>
      <c r="AO43" s="48"/>
      <c r="AP43" s="48"/>
      <c r="AQ43" s="47">
        <v>1</v>
      </c>
      <c r="AR43" s="48"/>
      <c r="AS43" s="48"/>
      <c r="AT43" s="48"/>
      <c r="AU43" s="47">
        <v>1</v>
      </c>
      <c r="AV43" s="48"/>
      <c r="AW43" s="48"/>
      <c r="AX43" s="48"/>
      <c r="AY43" s="48"/>
      <c r="AZ43" s="47">
        <v>1</v>
      </c>
      <c r="BA43" s="48"/>
      <c r="BB43" s="48"/>
      <c r="BC43" s="48"/>
      <c r="BD43" s="47">
        <v>1</v>
      </c>
      <c r="BE43" s="48"/>
      <c r="BF43" s="48"/>
      <c r="BG43" s="48"/>
      <c r="BH43" s="47">
        <v>1</v>
      </c>
      <c r="BI43" s="48"/>
      <c r="BJ43" s="48"/>
      <c r="BK43" s="48"/>
      <c r="BL43" s="47">
        <v>1</v>
      </c>
      <c r="BM43" s="48"/>
      <c r="BN43" s="48"/>
      <c r="BO43" s="48"/>
      <c r="BP43" s="48"/>
      <c r="BQ43" s="47">
        <v>1</v>
      </c>
      <c r="BR43" s="48"/>
      <c r="BS43" s="48"/>
      <c r="BT43" s="48"/>
      <c r="BU43" s="47">
        <v>1</v>
      </c>
      <c r="BV43" s="48"/>
      <c r="BW43" s="48"/>
      <c r="BX43" s="48"/>
      <c r="BY43" s="48"/>
      <c r="BZ43" s="47">
        <v>1</v>
      </c>
      <c r="CA43" s="48"/>
      <c r="CB43" s="48"/>
      <c r="CC43" s="48"/>
      <c r="CD43" s="47">
        <v>1</v>
      </c>
      <c r="CE43" s="48"/>
      <c r="CF43" s="48"/>
      <c r="CG43" s="48"/>
      <c r="CH43" s="47">
        <v>1</v>
      </c>
      <c r="CI43" s="48"/>
      <c r="CJ43" s="48"/>
      <c r="CK43" s="48"/>
      <c r="CL43" s="48"/>
      <c r="CM43" s="47">
        <v>1</v>
      </c>
      <c r="CN43" s="48"/>
      <c r="CO43" s="48"/>
      <c r="CP43" s="48"/>
      <c r="CQ43" s="47">
        <v>0</v>
      </c>
      <c r="CR43" s="48"/>
      <c r="CS43" s="48"/>
      <c r="CT43" s="48"/>
      <c r="CU43" s="47">
        <v>0</v>
      </c>
      <c r="CV43" s="48"/>
      <c r="CW43" s="48"/>
      <c r="CX43" s="48"/>
      <c r="CY43" s="48"/>
      <c r="CZ43" s="47">
        <v>0</v>
      </c>
      <c r="DA43" s="48"/>
      <c r="DB43" s="48"/>
      <c r="DC43" s="48"/>
    </row>
    <row r="44" spans="1:107" ht="14.1" customHeight="1" x14ac:dyDescent="0.25">
      <c r="B44" s="34" t="s">
        <v>100</v>
      </c>
      <c r="K44" s="35">
        <v>0</v>
      </c>
      <c r="L44" s="47">
        <v>0</v>
      </c>
      <c r="M44" s="48"/>
      <c r="N44" s="48"/>
      <c r="O44" s="48"/>
      <c r="P44" s="48"/>
      <c r="Q44" s="47">
        <v>0.85</v>
      </c>
      <c r="R44" s="48"/>
      <c r="S44" s="48"/>
      <c r="T44" s="48"/>
      <c r="U44" s="47">
        <v>0.9</v>
      </c>
      <c r="V44" s="48"/>
      <c r="W44" s="48"/>
      <c r="X44" s="48"/>
      <c r="Y44" s="47">
        <v>0.9</v>
      </c>
      <c r="Z44" s="48"/>
      <c r="AA44" s="48"/>
      <c r="AB44" s="48"/>
      <c r="AC44" s="48"/>
      <c r="AD44" s="47">
        <v>0.85</v>
      </c>
      <c r="AE44" s="48"/>
      <c r="AF44" s="48"/>
      <c r="AG44" s="48"/>
      <c r="AH44" s="47">
        <v>0.9</v>
      </c>
      <c r="AI44" s="48"/>
      <c r="AJ44" s="48"/>
      <c r="AK44" s="48"/>
      <c r="AL44" s="48"/>
      <c r="AM44" s="47">
        <v>1</v>
      </c>
      <c r="AN44" s="48"/>
      <c r="AO44" s="48"/>
      <c r="AP44" s="48"/>
      <c r="AQ44" s="47">
        <v>1</v>
      </c>
      <c r="AR44" s="48"/>
      <c r="AS44" s="48"/>
      <c r="AT44" s="48"/>
      <c r="AU44" s="47">
        <v>1</v>
      </c>
      <c r="AV44" s="48"/>
      <c r="AW44" s="48"/>
      <c r="AX44" s="48"/>
      <c r="AY44" s="48"/>
      <c r="AZ44" s="47">
        <v>1</v>
      </c>
      <c r="BA44" s="48"/>
      <c r="BB44" s="48"/>
      <c r="BC44" s="48"/>
      <c r="BD44" s="47">
        <v>0.85</v>
      </c>
      <c r="BE44" s="48"/>
      <c r="BF44" s="48"/>
      <c r="BG44" s="48"/>
      <c r="BH44" s="47">
        <v>0.9</v>
      </c>
      <c r="BI44" s="48"/>
      <c r="BJ44" s="48"/>
      <c r="BK44" s="48"/>
      <c r="BL44" s="47">
        <v>0.9</v>
      </c>
      <c r="BM44" s="48"/>
      <c r="BN44" s="48"/>
      <c r="BO44" s="48"/>
      <c r="BP44" s="48"/>
      <c r="BQ44" s="47">
        <v>0.85</v>
      </c>
      <c r="BR44" s="48"/>
      <c r="BS44" s="48"/>
      <c r="BT44" s="48"/>
      <c r="BU44" s="47">
        <v>0.9</v>
      </c>
      <c r="BV44" s="48"/>
      <c r="BW44" s="48"/>
      <c r="BX44" s="48"/>
      <c r="BY44" s="48"/>
      <c r="BZ44" s="47">
        <v>1</v>
      </c>
      <c r="CA44" s="48"/>
      <c r="CB44" s="48"/>
      <c r="CC44" s="48"/>
      <c r="CD44" s="47">
        <v>1</v>
      </c>
      <c r="CE44" s="48"/>
      <c r="CF44" s="48"/>
      <c r="CG44" s="48"/>
      <c r="CH44" s="47">
        <v>1</v>
      </c>
      <c r="CI44" s="48"/>
      <c r="CJ44" s="48"/>
      <c r="CK44" s="48"/>
      <c r="CL44" s="48"/>
      <c r="CM44" s="47">
        <v>1</v>
      </c>
      <c r="CN44" s="48"/>
      <c r="CO44" s="48"/>
      <c r="CP44" s="48"/>
      <c r="CQ44" s="47">
        <v>0</v>
      </c>
      <c r="CR44" s="48"/>
      <c r="CS44" s="48"/>
      <c r="CT44" s="48"/>
      <c r="CU44" s="47">
        <v>0</v>
      </c>
      <c r="CV44" s="48"/>
      <c r="CW44" s="48"/>
      <c r="CX44" s="48"/>
      <c r="CY44" s="48"/>
      <c r="CZ44" s="47">
        <v>0</v>
      </c>
      <c r="DA44" s="48"/>
      <c r="DB44" s="48"/>
      <c r="DC44" s="48"/>
    </row>
    <row r="45" spans="1:107" ht="14.1" customHeight="1" x14ac:dyDescent="0.25">
      <c r="B45" s="34" t="s">
        <v>100</v>
      </c>
      <c r="K45" s="35">
        <v>0</v>
      </c>
      <c r="L45" s="47">
        <v>0</v>
      </c>
      <c r="M45" s="48"/>
      <c r="N45" s="48"/>
      <c r="O45" s="48"/>
      <c r="P45" s="48"/>
      <c r="Q45" s="47">
        <v>1</v>
      </c>
      <c r="R45" s="48"/>
      <c r="S45" s="48"/>
      <c r="T45" s="48"/>
      <c r="U45" s="47">
        <v>1</v>
      </c>
      <c r="V45" s="48"/>
      <c r="W45" s="48"/>
      <c r="X45" s="48"/>
      <c r="Y45" s="47">
        <v>1</v>
      </c>
      <c r="Z45" s="48"/>
      <c r="AA45" s="48"/>
      <c r="AB45" s="48"/>
      <c r="AC45" s="48"/>
      <c r="AD45" s="47">
        <v>1</v>
      </c>
      <c r="AE45" s="48"/>
      <c r="AF45" s="48"/>
      <c r="AG45" s="48"/>
      <c r="AH45" s="47">
        <v>1</v>
      </c>
      <c r="AI45" s="48"/>
      <c r="AJ45" s="48"/>
      <c r="AK45" s="48"/>
      <c r="AL45" s="48"/>
      <c r="AM45" s="47">
        <v>1</v>
      </c>
      <c r="AN45" s="48"/>
      <c r="AO45" s="48"/>
      <c r="AP45" s="48"/>
      <c r="AQ45" s="47">
        <v>1</v>
      </c>
      <c r="AR45" s="48"/>
      <c r="AS45" s="48"/>
      <c r="AT45" s="48"/>
      <c r="AU45" s="47">
        <v>1</v>
      </c>
      <c r="AV45" s="48"/>
      <c r="AW45" s="48"/>
      <c r="AX45" s="48"/>
      <c r="AY45" s="48"/>
      <c r="AZ45" s="47">
        <v>1</v>
      </c>
      <c r="BA45" s="48"/>
      <c r="BB45" s="48"/>
      <c r="BC45" s="48"/>
      <c r="BD45" s="47">
        <v>1</v>
      </c>
      <c r="BE45" s="48"/>
      <c r="BF45" s="48"/>
      <c r="BG45" s="48"/>
      <c r="BH45" s="47">
        <v>1</v>
      </c>
      <c r="BI45" s="48"/>
      <c r="BJ45" s="48"/>
      <c r="BK45" s="48"/>
      <c r="BL45" s="47">
        <v>1</v>
      </c>
      <c r="BM45" s="48"/>
      <c r="BN45" s="48"/>
      <c r="BO45" s="48"/>
      <c r="BP45" s="48"/>
      <c r="BQ45" s="47">
        <v>1</v>
      </c>
      <c r="BR45" s="48"/>
      <c r="BS45" s="48"/>
      <c r="BT45" s="48"/>
      <c r="BU45" s="47">
        <v>1</v>
      </c>
      <c r="BV45" s="48"/>
      <c r="BW45" s="48"/>
      <c r="BX45" s="48"/>
      <c r="BY45" s="48"/>
      <c r="BZ45" s="47">
        <v>1</v>
      </c>
      <c r="CA45" s="48"/>
      <c r="CB45" s="48"/>
      <c r="CC45" s="48"/>
      <c r="CD45" s="47">
        <v>1</v>
      </c>
      <c r="CE45" s="48"/>
      <c r="CF45" s="48"/>
      <c r="CG45" s="48"/>
      <c r="CH45" s="47">
        <v>1</v>
      </c>
      <c r="CI45" s="48"/>
      <c r="CJ45" s="48"/>
      <c r="CK45" s="48"/>
      <c r="CL45" s="48"/>
      <c r="CM45" s="47">
        <v>1</v>
      </c>
      <c r="CN45" s="48"/>
      <c r="CO45" s="48"/>
      <c r="CP45" s="48"/>
      <c r="CQ45" s="47">
        <v>0</v>
      </c>
      <c r="CR45" s="48"/>
      <c r="CS45" s="48"/>
      <c r="CT45" s="48"/>
      <c r="CU45" s="47">
        <v>0</v>
      </c>
      <c r="CV45" s="48"/>
      <c r="CW45" s="48"/>
      <c r="CX45" s="48"/>
      <c r="CY45" s="48"/>
      <c r="CZ45" s="47">
        <v>0</v>
      </c>
      <c r="DA45" s="48"/>
      <c r="DB45" s="48"/>
      <c r="DC45" s="48"/>
    </row>
    <row r="46" spans="1:107" ht="14.1" customHeight="1" x14ac:dyDescent="0.25">
      <c r="B46" s="34" t="s">
        <v>100</v>
      </c>
      <c r="K46" s="35">
        <v>0</v>
      </c>
      <c r="L46" s="47">
        <v>0</v>
      </c>
      <c r="M46" s="48"/>
      <c r="N46" s="48"/>
      <c r="O46" s="48"/>
      <c r="P46" s="48"/>
      <c r="Q46" s="47">
        <v>1</v>
      </c>
      <c r="R46" s="48"/>
      <c r="S46" s="48"/>
      <c r="T46" s="48"/>
      <c r="U46" s="47">
        <v>1</v>
      </c>
      <c r="V46" s="48"/>
      <c r="W46" s="48"/>
      <c r="X46" s="48"/>
      <c r="Y46" s="47">
        <v>1</v>
      </c>
      <c r="Z46" s="48"/>
      <c r="AA46" s="48"/>
      <c r="AB46" s="48"/>
      <c r="AC46" s="48"/>
      <c r="AD46" s="47">
        <v>1</v>
      </c>
      <c r="AE46" s="48"/>
      <c r="AF46" s="48"/>
      <c r="AG46" s="48"/>
      <c r="AH46" s="47">
        <v>1</v>
      </c>
      <c r="AI46" s="48"/>
      <c r="AJ46" s="48"/>
      <c r="AK46" s="48"/>
      <c r="AL46" s="48"/>
      <c r="AM46" s="47">
        <v>1</v>
      </c>
      <c r="AN46" s="48"/>
      <c r="AO46" s="48"/>
      <c r="AP46" s="48"/>
      <c r="AQ46" s="47">
        <v>1</v>
      </c>
      <c r="AR46" s="48"/>
      <c r="AS46" s="48"/>
      <c r="AT46" s="48"/>
      <c r="AU46" s="47">
        <v>1</v>
      </c>
      <c r="AV46" s="48"/>
      <c r="AW46" s="48"/>
      <c r="AX46" s="48"/>
      <c r="AY46" s="48"/>
      <c r="AZ46" s="47">
        <v>1</v>
      </c>
      <c r="BA46" s="48"/>
      <c r="BB46" s="48"/>
      <c r="BC46" s="48"/>
      <c r="BD46" s="47">
        <v>1</v>
      </c>
      <c r="BE46" s="48"/>
      <c r="BF46" s="48"/>
      <c r="BG46" s="48"/>
      <c r="BH46" s="47">
        <v>1</v>
      </c>
      <c r="BI46" s="48"/>
      <c r="BJ46" s="48"/>
      <c r="BK46" s="48"/>
      <c r="BL46" s="47">
        <v>1</v>
      </c>
      <c r="BM46" s="48"/>
      <c r="BN46" s="48"/>
      <c r="BO46" s="48"/>
      <c r="BP46" s="48"/>
      <c r="BQ46" s="47">
        <v>1</v>
      </c>
      <c r="BR46" s="48"/>
      <c r="BS46" s="48"/>
      <c r="BT46" s="48"/>
      <c r="BU46" s="47">
        <v>1</v>
      </c>
      <c r="BV46" s="48"/>
      <c r="BW46" s="48"/>
      <c r="BX46" s="48"/>
      <c r="BY46" s="48"/>
      <c r="BZ46" s="47">
        <v>1</v>
      </c>
      <c r="CA46" s="48"/>
      <c r="CB46" s="48"/>
      <c r="CC46" s="48"/>
      <c r="CD46" s="47">
        <v>1</v>
      </c>
      <c r="CE46" s="48"/>
      <c r="CF46" s="48"/>
      <c r="CG46" s="48"/>
      <c r="CH46" s="47">
        <v>1</v>
      </c>
      <c r="CI46" s="48"/>
      <c r="CJ46" s="48"/>
      <c r="CK46" s="48"/>
      <c r="CL46" s="48"/>
      <c r="CM46" s="47">
        <v>1</v>
      </c>
      <c r="CN46" s="48"/>
      <c r="CO46" s="48"/>
      <c r="CP46" s="48"/>
      <c r="CQ46" s="47">
        <v>0</v>
      </c>
      <c r="CR46" s="48"/>
      <c r="CS46" s="48"/>
      <c r="CT46" s="48"/>
      <c r="CU46" s="47">
        <v>0</v>
      </c>
      <c r="CV46" s="48"/>
      <c r="CW46" s="48"/>
      <c r="CX46" s="48"/>
      <c r="CY46" s="48"/>
      <c r="CZ46" s="47">
        <v>0</v>
      </c>
      <c r="DA46" s="48"/>
      <c r="DB46" s="48"/>
      <c r="DC46" s="48"/>
    </row>
    <row r="47" spans="1:107" ht="14.1" customHeight="1" x14ac:dyDescent="0.25">
      <c r="B47" s="34" t="s">
        <v>101</v>
      </c>
      <c r="K47" s="35">
        <v>0</v>
      </c>
      <c r="L47" s="47">
        <v>0</v>
      </c>
      <c r="M47" s="48"/>
      <c r="N47" s="48"/>
      <c r="O47" s="48"/>
      <c r="P47" s="48"/>
      <c r="Q47" s="47">
        <v>1</v>
      </c>
      <c r="R47" s="48"/>
      <c r="S47" s="48"/>
      <c r="T47" s="48"/>
      <c r="U47" s="47">
        <v>1</v>
      </c>
      <c r="V47" s="48"/>
      <c r="W47" s="48"/>
      <c r="X47" s="48"/>
      <c r="Y47" s="47">
        <v>1</v>
      </c>
      <c r="Z47" s="48"/>
      <c r="AA47" s="48"/>
      <c r="AB47" s="48"/>
      <c r="AC47" s="48"/>
      <c r="AD47" s="47">
        <v>1</v>
      </c>
      <c r="AE47" s="48"/>
      <c r="AF47" s="48"/>
      <c r="AG47" s="48"/>
      <c r="AH47" s="47">
        <v>1</v>
      </c>
      <c r="AI47" s="48"/>
      <c r="AJ47" s="48"/>
      <c r="AK47" s="48"/>
      <c r="AL47" s="48"/>
      <c r="AM47" s="47">
        <v>1</v>
      </c>
      <c r="AN47" s="48"/>
      <c r="AO47" s="48"/>
      <c r="AP47" s="48"/>
      <c r="AQ47" s="47">
        <v>1</v>
      </c>
      <c r="AR47" s="48"/>
      <c r="AS47" s="48"/>
      <c r="AT47" s="48"/>
      <c r="AU47" s="47">
        <v>1</v>
      </c>
      <c r="AV47" s="48"/>
      <c r="AW47" s="48"/>
      <c r="AX47" s="48"/>
      <c r="AY47" s="48"/>
      <c r="AZ47" s="47">
        <v>1</v>
      </c>
      <c r="BA47" s="48"/>
      <c r="BB47" s="48"/>
      <c r="BC47" s="48"/>
      <c r="BD47" s="47">
        <v>1</v>
      </c>
      <c r="BE47" s="48"/>
      <c r="BF47" s="48"/>
      <c r="BG47" s="48"/>
      <c r="BH47" s="47">
        <v>1</v>
      </c>
      <c r="BI47" s="48"/>
      <c r="BJ47" s="48"/>
      <c r="BK47" s="48"/>
      <c r="BL47" s="47">
        <v>1</v>
      </c>
      <c r="BM47" s="48"/>
      <c r="BN47" s="48"/>
      <c r="BO47" s="48"/>
      <c r="BP47" s="48"/>
      <c r="BQ47" s="47">
        <v>1</v>
      </c>
      <c r="BR47" s="48"/>
      <c r="BS47" s="48"/>
      <c r="BT47" s="48"/>
      <c r="BU47" s="47">
        <v>1</v>
      </c>
      <c r="BV47" s="48"/>
      <c r="BW47" s="48"/>
      <c r="BX47" s="48"/>
      <c r="BY47" s="48"/>
      <c r="BZ47" s="47">
        <v>1</v>
      </c>
      <c r="CA47" s="48"/>
      <c r="CB47" s="48"/>
      <c r="CC47" s="48"/>
      <c r="CD47" s="47">
        <v>1</v>
      </c>
      <c r="CE47" s="48"/>
      <c r="CF47" s="48"/>
      <c r="CG47" s="48"/>
      <c r="CH47" s="47">
        <v>1</v>
      </c>
      <c r="CI47" s="48"/>
      <c r="CJ47" s="48"/>
      <c r="CK47" s="48"/>
      <c r="CL47" s="48"/>
      <c r="CM47" s="47">
        <v>1</v>
      </c>
      <c r="CN47" s="48"/>
      <c r="CO47" s="48"/>
      <c r="CP47" s="48"/>
      <c r="CQ47" s="47">
        <v>0</v>
      </c>
      <c r="CR47" s="48"/>
      <c r="CS47" s="48"/>
      <c r="CT47" s="48"/>
      <c r="CU47" s="47">
        <v>0</v>
      </c>
      <c r="CV47" s="48"/>
      <c r="CW47" s="48"/>
      <c r="CX47" s="48"/>
      <c r="CY47" s="48"/>
      <c r="CZ47" s="47">
        <v>0</v>
      </c>
      <c r="DA47" s="48"/>
      <c r="DB47" s="48"/>
      <c r="DC47" s="48"/>
    </row>
    <row r="48" spans="1:107" ht="14.1" customHeight="1" x14ac:dyDescent="0.25">
      <c r="B48" s="34" t="s">
        <v>101</v>
      </c>
      <c r="K48" s="35">
        <v>0</v>
      </c>
      <c r="L48" s="47">
        <v>0</v>
      </c>
      <c r="M48" s="48"/>
      <c r="N48" s="48"/>
      <c r="O48" s="48"/>
      <c r="P48" s="48"/>
      <c r="Q48" s="47">
        <v>0.75</v>
      </c>
      <c r="R48" s="48"/>
      <c r="S48" s="48"/>
      <c r="T48" s="48"/>
      <c r="U48" s="47">
        <v>0.9</v>
      </c>
      <c r="V48" s="48"/>
      <c r="W48" s="48"/>
      <c r="X48" s="48"/>
      <c r="Y48" s="47">
        <v>0.9</v>
      </c>
      <c r="Z48" s="48"/>
      <c r="AA48" s="48"/>
      <c r="AB48" s="48"/>
      <c r="AC48" s="48"/>
      <c r="AD48" s="47">
        <v>0.75</v>
      </c>
      <c r="AE48" s="48"/>
      <c r="AF48" s="48"/>
      <c r="AG48" s="48"/>
      <c r="AH48" s="47">
        <v>0.9</v>
      </c>
      <c r="AI48" s="48"/>
      <c r="AJ48" s="48"/>
      <c r="AK48" s="48"/>
      <c r="AL48" s="48"/>
      <c r="AM48" s="47">
        <v>0.65</v>
      </c>
      <c r="AN48" s="48"/>
      <c r="AO48" s="48"/>
      <c r="AP48" s="48"/>
      <c r="AQ48" s="47">
        <v>0</v>
      </c>
      <c r="AR48" s="48"/>
      <c r="AS48" s="48"/>
      <c r="AT48" s="48"/>
      <c r="AU48" s="47">
        <v>0</v>
      </c>
      <c r="AV48" s="48"/>
      <c r="AW48" s="48"/>
      <c r="AX48" s="48"/>
      <c r="AY48" s="48"/>
      <c r="AZ48" s="47">
        <v>0</v>
      </c>
      <c r="BA48" s="48"/>
      <c r="BB48" s="48"/>
      <c r="BC48" s="48"/>
      <c r="BD48" s="47">
        <v>0.75</v>
      </c>
      <c r="BE48" s="48"/>
      <c r="BF48" s="48"/>
      <c r="BG48" s="48"/>
      <c r="BH48" s="47">
        <v>0.9</v>
      </c>
      <c r="BI48" s="48"/>
      <c r="BJ48" s="48"/>
      <c r="BK48" s="48"/>
      <c r="BL48" s="47">
        <v>0.9</v>
      </c>
      <c r="BM48" s="48"/>
      <c r="BN48" s="48"/>
      <c r="BO48" s="48"/>
      <c r="BP48" s="48"/>
      <c r="BQ48" s="47">
        <v>0.75</v>
      </c>
      <c r="BR48" s="48"/>
      <c r="BS48" s="48"/>
      <c r="BT48" s="48"/>
      <c r="BU48" s="47">
        <v>0.9</v>
      </c>
      <c r="BV48" s="48"/>
      <c r="BW48" s="48"/>
      <c r="BX48" s="48"/>
      <c r="BY48" s="48"/>
      <c r="BZ48" s="47">
        <v>0.65</v>
      </c>
      <c r="CA48" s="48"/>
      <c r="CB48" s="48"/>
      <c r="CC48" s="48"/>
      <c r="CD48" s="47">
        <v>0</v>
      </c>
      <c r="CE48" s="48"/>
      <c r="CF48" s="48"/>
      <c r="CG48" s="48"/>
      <c r="CH48" s="47">
        <v>0</v>
      </c>
      <c r="CI48" s="48"/>
      <c r="CJ48" s="48"/>
      <c r="CK48" s="48"/>
      <c r="CL48" s="48"/>
      <c r="CM48" s="47">
        <v>0</v>
      </c>
      <c r="CN48" s="48"/>
      <c r="CO48" s="48"/>
      <c r="CP48" s="48"/>
      <c r="CQ48" s="47">
        <v>0</v>
      </c>
      <c r="CR48" s="48"/>
      <c r="CS48" s="48"/>
      <c r="CT48" s="48"/>
      <c r="CU48" s="47">
        <v>0</v>
      </c>
      <c r="CV48" s="48"/>
      <c r="CW48" s="48"/>
      <c r="CX48" s="48"/>
      <c r="CY48" s="48"/>
      <c r="CZ48" s="47">
        <v>0</v>
      </c>
      <c r="DA48" s="48"/>
      <c r="DB48" s="48"/>
      <c r="DC48" s="48"/>
    </row>
    <row r="49" spans="1:107" ht="14.1" customHeight="1" x14ac:dyDescent="0.25">
      <c r="B49" s="34" t="s">
        <v>102</v>
      </c>
      <c r="K49" s="35">
        <v>0</v>
      </c>
      <c r="L49" s="47">
        <v>0</v>
      </c>
      <c r="M49" s="48"/>
      <c r="N49" s="48"/>
      <c r="O49" s="48"/>
      <c r="P49" s="48"/>
      <c r="Q49" s="47">
        <v>0.75</v>
      </c>
      <c r="R49" s="48"/>
      <c r="S49" s="48"/>
      <c r="T49" s="48"/>
      <c r="U49" s="47">
        <v>0.9</v>
      </c>
      <c r="V49" s="48"/>
      <c r="W49" s="48"/>
      <c r="X49" s="48"/>
      <c r="Y49" s="47">
        <v>0.9</v>
      </c>
      <c r="Z49" s="48"/>
      <c r="AA49" s="48"/>
      <c r="AB49" s="48"/>
      <c r="AC49" s="48"/>
      <c r="AD49" s="47">
        <v>0.75</v>
      </c>
      <c r="AE49" s="48"/>
      <c r="AF49" s="48"/>
      <c r="AG49" s="48"/>
      <c r="AH49" s="47">
        <v>0.9</v>
      </c>
      <c r="AI49" s="48"/>
      <c r="AJ49" s="48"/>
      <c r="AK49" s="48"/>
      <c r="AL49" s="48"/>
      <c r="AM49" s="47">
        <v>0.8</v>
      </c>
      <c r="AN49" s="48"/>
      <c r="AO49" s="48"/>
      <c r="AP49" s="48"/>
      <c r="AQ49" s="47">
        <v>1</v>
      </c>
      <c r="AR49" s="48"/>
      <c r="AS49" s="48"/>
      <c r="AT49" s="48"/>
      <c r="AU49" s="47">
        <v>1</v>
      </c>
      <c r="AV49" s="48"/>
      <c r="AW49" s="48"/>
      <c r="AX49" s="48"/>
      <c r="AY49" s="48"/>
      <c r="AZ49" s="47">
        <v>1</v>
      </c>
      <c r="BA49" s="48"/>
      <c r="BB49" s="48"/>
      <c r="BC49" s="48"/>
      <c r="BD49" s="47">
        <v>0.75</v>
      </c>
      <c r="BE49" s="48"/>
      <c r="BF49" s="48"/>
      <c r="BG49" s="48"/>
      <c r="BH49" s="47">
        <v>0.9</v>
      </c>
      <c r="BI49" s="48"/>
      <c r="BJ49" s="48"/>
      <c r="BK49" s="48"/>
      <c r="BL49" s="47">
        <v>0.9</v>
      </c>
      <c r="BM49" s="48"/>
      <c r="BN49" s="48"/>
      <c r="BO49" s="48"/>
      <c r="BP49" s="48"/>
      <c r="BQ49" s="47">
        <v>0.75</v>
      </c>
      <c r="BR49" s="48"/>
      <c r="BS49" s="48"/>
      <c r="BT49" s="48"/>
      <c r="BU49" s="47">
        <v>0.9</v>
      </c>
      <c r="BV49" s="48"/>
      <c r="BW49" s="48"/>
      <c r="BX49" s="48"/>
      <c r="BY49" s="48"/>
      <c r="BZ49" s="47">
        <v>0.8</v>
      </c>
      <c r="CA49" s="48"/>
      <c r="CB49" s="48"/>
      <c r="CC49" s="48"/>
      <c r="CD49" s="47">
        <v>1</v>
      </c>
      <c r="CE49" s="48"/>
      <c r="CF49" s="48"/>
      <c r="CG49" s="48"/>
      <c r="CH49" s="47">
        <v>1</v>
      </c>
      <c r="CI49" s="48"/>
      <c r="CJ49" s="48"/>
      <c r="CK49" s="48"/>
      <c r="CL49" s="48"/>
      <c r="CM49" s="47">
        <v>1</v>
      </c>
      <c r="CN49" s="48"/>
      <c r="CO49" s="48"/>
      <c r="CP49" s="48"/>
      <c r="CQ49" s="47">
        <v>0</v>
      </c>
      <c r="CR49" s="48"/>
      <c r="CS49" s="48"/>
      <c r="CT49" s="48"/>
      <c r="CU49" s="47">
        <v>0</v>
      </c>
      <c r="CV49" s="48"/>
      <c r="CW49" s="48"/>
      <c r="CX49" s="48"/>
      <c r="CY49" s="48"/>
      <c r="CZ49" s="47">
        <v>0</v>
      </c>
      <c r="DA49" s="48"/>
      <c r="DB49" s="48"/>
      <c r="DC49" s="48"/>
    </row>
    <row r="50" spans="1:107" ht="14.1" customHeight="1" x14ac:dyDescent="0.25">
      <c r="B50" s="34" t="s">
        <v>102</v>
      </c>
      <c r="K50" s="35">
        <v>0</v>
      </c>
      <c r="L50" s="47">
        <v>0</v>
      </c>
      <c r="M50" s="48"/>
      <c r="N50" s="48"/>
      <c r="O50" s="48"/>
      <c r="P50" s="48"/>
      <c r="Q50" s="47">
        <v>1</v>
      </c>
      <c r="R50" s="48"/>
      <c r="S50" s="48"/>
      <c r="T50" s="48"/>
      <c r="U50" s="47">
        <v>1</v>
      </c>
      <c r="V50" s="48"/>
      <c r="W50" s="48"/>
      <c r="X50" s="48"/>
      <c r="Y50" s="47">
        <v>1</v>
      </c>
      <c r="Z50" s="48"/>
      <c r="AA50" s="48"/>
      <c r="AB50" s="48"/>
      <c r="AC50" s="48"/>
      <c r="AD50" s="47">
        <v>1</v>
      </c>
      <c r="AE50" s="48"/>
      <c r="AF50" s="48"/>
      <c r="AG50" s="48"/>
      <c r="AH50" s="47">
        <v>1</v>
      </c>
      <c r="AI50" s="48"/>
      <c r="AJ50" s="48"/>
      <c r="AK50" s="48"/>
      <c r="AL50" s="48"/>
      <c r="AM50" s="47">
        <v>0</v>
      </c>
      <c r="AN50" s="48"/>
      <c r="AO50" s="48"/>
      <c r="AP50" s="48"/>
      <c r="AQ50" s="47">
        <v>0</v>
      </c>
      <c r="AR50" s="48"/>
      <c r="AS50" s="48"/>
      <c r="AT50" s="48"/>
      <c r="AU50" s="47">
        <v>0</v>
      </c>
      <c r="AV50" s="48"/>
      <c r="AW50" s="48"/>
      <c r="AX50" s="48"/>
      <c r="AY50" s="48"/>
      <c r="AZ50" s="47">
        <v>0</v>
      </c>
      <c r="BA50" s="48"/>
      <c r="BB50" s="48"/>
      <c r="BC50" s="48"/>
      <c r="BD50" s="47">
        <v>1</v>
      </c>
      <c r="BE50" s="48"/>
      <c r="BF50" s="48"/>
      <c r="BG50" s="48"/>
      <c r="BH50" s="47">
        <v>1</v>
      </c>
      <c r="BI50" s="48"/>
      <c r="BJ50" s="48"/>
      <c r="BK50" s="48"/>
      <c r="BL50" s="47">
        <v>1</v>
      </c>
      <c r="BM50" s="48"/>
      <c r="BN50" s="48"/>
      <c r="BO50" s="48"/>
      <c r="BP50" s="48"/>
      <c r="BQ50" s="47">
        <v>1</v>
      </c>
      <c r="BR50" s="48"/>
      <c r="BS50" s="48"/>
      <c r="BT50" s="48"/>
      <c r="BU50" s="47">
        <v>1</v>
      </c>
      <c r="BV50" s="48"/>
      <c r="BW50" s="48"/>
      <c r="BX50" s="48"/>
      <c r="BY50" s="48"/>
      <c r="BZ50" s="47">
        <v>0</v>
      </c>
      <c r="CA50" s="48"/>
      <c r="CB50" s="48"/>
      <c r="CC50" s="48"/>
      <c r="CD50" s="47">
        <v>0</v>
      </c>
      <c r="CE50" s="48"/>
      <c r="CF50" s="48"/>
      <c r="CG50" s="48"/>
      <c r="CH50" s="47">
        <v>0</v>
      </c>
      <c r="CI50" s="48"/>
      <c r="CJ50" s="48"/>
      <c r="CK50" s="48"/>
      <c r="CL50" s="48"/>
      <c r="CM50" s="47">
        <v>0</v>
      </c>
      <c r="CN50" s="48"/>
      <c r="CO50" s="48"/>
      <c r="CP50" s="48"/>
      <c r="CQ50" s="47">
        <v>0</v>
      </c>
      <c r="CR50" s="48"/>
      <c r="CS50" s="48"/>
      <c r="CT50" s="48"/>
      <c r="CU50" s="47">
        <v>0</v>
      </c>
      <c r="CV50" s="48"/>
      <c r="CW50" s="48"/>
      <c r="CX50" s="48"/>
      <c r="CY50" s="48"/>
      <c r="CZ50" s="47">
        <v>0</v>
      </c>
      <c r="DA50" s="48"/>
      <c r="DB50" s="48"/>
      <c r="DC50" s="48"/>
    </row>
    <row r="51" spans="1:107" ht="14.1" customHeight="1" x14ac:dyDescent="0.25">
      <c r="B51" s="34" t="s">
        <v>103</v>
      </c>
      <c r="K51" s="35">
        <v>0</v>
      </c>
      <c r="L51" s="47">
        <v>0</v>
      </c>
      <c r="M51" s="48"/>
      <c r="N51" s="48"/>
      <c r="O51" s="48"/>
      <c r="P51" s="48"/>
      <c r="Q51" s="47">
        <v>0</v>
      </c>
      <c r="R51" s="48"/>
      <c r="S51" s="48"/>
      <c r="T51" s="48"/>
      <c r="U51" s="47">
        <v>0</v>
      </c>
      <c r="V51" s="48"/>
      <c r="W51" s="48"/>
      <c r="X51" s="48"/>
      <c r="Y51" s="47">
        <v>0</v>
      </c>
      <c r="Z51" s="48"/>
      <c r="AA51" s="48"/>
      <c r="AB51" s="48"/>
      <c r="AC51" s="48"/>
      <c r="AD51" s="47">
        <v>0</v>
      </c>
      <c r="AE51" s="48"/>
      <c r="AF51" s="48"/>
      <c r="AG51" s="48"/>
      <c r="AH51" s="47">
        <v>0</v>
      </c>
      <c r="AI51" s="48"/>
      <c r="AJ51" s="48"/>
      <c r="AK51" s="48"/>
      <c r="AL51" s="48"/>
      <c r="AM51" s="47">
        <v>0</v>
      </c>
      <c r="AN51" s="48"/>
      <c r="AO51" s="48"/>
      <c r="AP51" s="48"/>
      <c r="AQ51" s="47">
        <v>0</v>
      </c>
      <c r="AR51" s="48"/>
      <c r="AS51" s="48"/>
      <c r="AT51" s="48"/>
      <c r="AU51" s="47">
        <v>0</v>
      </c>
      <c r="AV51" s="48"/>
      <c r="AW51" s="48"/>
      <c r="AX51" s="48"/>
      <c r="AY51" s="48"/>
      <c r="AZ51" s="47">
        <v>0</v>
      </c>
      <c r="BA51" s="48"/>
      <c r="BB51" s="48"/>
      <c r="BC51" s="48"/>
      <c r="BD51" s="47">
        <v>0</v>
      </c>
      <c r="BE51" s="48"/>
      <c r="BF51" s="48"/>
      <c r="BG51" s="48"/>
      <c r="BH51" s="47">
        <v>0</v>
      </c>
      <c r="BI51" s="48"/>
      <c r="BJ51" s="48"/>
      <c r="BK51" s="48"/>
      <c r="BL51" s="47">
        <v>0</v>
      </c>
      <c r="BM51" s="48"/>
      <c r="BN51" s="48"/>
      <c r="BO51" s="48"/>
      <c r="BP51" s="48"/>
      <c r="BQ51" s="47">
        <v>0</v>
      </c>
      <c r="BR51" s="48"/>
      <c r="BS51" s="48"/>
      <c r="BT51" s="48"/>
      <c r="BU51" s="47">
        <v>0</v>
      </c>
      <c r="BV51" s="48"/>
      <c r="BW51" s="48"/>
      <c r="BX51" s="48"/>
      <c r="BY51" s="48"/>
      <c r="BZ51" s="47">
        <v>0</v>
      </c>
      <c r="CA51" s="48"/>
      <c r="CB51" s="48"/>
      <c r="CC51" s="48"/>
      <c r="CD51" s="47">
        <v>0</v>
      </c>
      <c r="CE51" s="48"/>
      <c r="CF51" s="48"/>
      <c r="CG51" s="48"/>
      <c r="CH51" s="47">
        <v>0</v>
      </c>
      <c r="CI51" s="48"/>
      <c r="CJ51" s="48"/>
      <c r="CK51" s="48"/>
      <c r="CL51" s="48"/>
      <c r="CM51" s="47">
        <v>0</v>
      </c>
      <c r="CN51" s="48"/>
      <c r="CO51" s="48"/>
      <c r="CP51" s="48"/>
      <c r="CQ51" s="47">
        <v>0</v>
      </c>
      <c r="CR51" s="48"/>
      <c r="CS51" s="48"/>
      <c r="CT51" s="48"/>
      <c r="CU51" s="47">
        <v>0</v>
      </c>
      <c r="CV51" s="48"/>
      <c r="CW51" s="48"/>
      <c r="CX51" s="48"/>
      <c r="CY51" s="48"/>
      <c r="CZ51" s="47">
        <v>0</v>
      </c>
      <c r="DA51" s="48"/>
      <c r="DB51" s="48"/>
      <c r="DC51" s="48"/>
    </row>
    <row r="52" spans="1:107" ht="14.1" customHeight="1" x14ac:dyDescent="0.25">
      <c r="B52" s="34" t="s">
        <v>104</v>
      </c>
      <c r="K52" s="35">
        <v>0</v>
      </c>
      <c r="L52" s="47">
        <v>0</v>
      </c>
      <c r="M52" s="48"/>
      <c r="N52" s="48"/>
      <c r="O52" s="48"/>
      <c r="P52" s="48"/>
      <c r="Q52" s="47">
        <v>0.2</v>
      </c>
      <c r="R52" s="48"/>
      <c r="S52" s="48"/>
      <c r="T52" s="48"/>
      <c r="U52" s="47">
        <v>0.2</v>
      </c>
      <c r="V52" s="48"/>
      <c r="W52" s="48"/>
      <c r="X52" s="48"/>
      <c r="Y52" s="47">
        <v>0.2</v>
      </c>
      <c r="Z52" s="48"/>
      <c r="AA52" s="48"/>
      <c r="AB52" s="48"/>
      <c r="AC52" s="48"/>
      <c r="AD52" s="47">
        <v>0.2</v>
      </c>
      <c r="AE52" s="48"/>
      <c r="AF52" s="48"/>
      <c r="AG52" s="48"/>
      <c r="AH52" s="47">
        <v>0.1</v>
      </c>
      <c r="AI52" s="48"/>
      <c r="AJ52" s="48"/>
      <c r="AK52" s="48"/>
      <c r="AL52" s="48"/>
      <c r="AM52" s="47">
        <v>0.1</v>
      </c>
      <c r="AN52" s="48"/>
      <c r="AO52" s="48"/>
      <c r="AP52" s="48"/>
      <c r="AQ52" s="47">
        <v>0</v>
      </c>
      <c r="AR52" s="48"/>
      <c r="AS52" s="48"/>
      <c r="AT52" s="48"/>
      <c r="AU52" s="47">
        <v>0</v>
      </c>
      <c r="AV52" s="48"/>
      <c r="AW52" s="48"/>
      <c r="AX52" s="48"/>
      <c r="AY52" s="48"/>
      <c r="AZ52" s="47">
        <v>0</v>
      </c>
      <c r="BA52" s="48"/>
      <c r="BB52" s="48"/>
      <c r="BC52" s="48"/>
      <c r="BD52" s="47">
        <v>0.2</v>
      </c>
      <c r="BE52" s="48"/>
      <c r="BF52" s="48"/>
      <c r="BG52" s="48"/>
      <c r="BH52" s="47">
        <v>0.2</v>
      </c>
      <c r="BI52" s="48"/>
      <c r="BJ52" s="48"/>
      <c r="BK52" s="48"/>
      <c r="BL52" s="47">
        <v>0.2</v>
      </c>
      <c r="BM52" s="48"/>
      <c r="BN52" s="48"/>
      <c r="BO52" s="48"/>
      <c r="BP52" s="48"/>
      <c r="BQ52" s="47">
        <v>0.2</v>
      </c>
      <c r="BR52" s="48"/>
      <c r="BS52" s="48"/>
      <c r="BT52" s="48"/>
      <c r="BU52" s="47">
        <v>0.1</v>
      </c>
      <c r="BV52" s="48"/>
      <c r="BW52" s="48"/>
      <c r="BX52" s="48"/>
      <c r="BY52" s="48"/>
      <c r="BZ52" s="47">
        <v>0.1</v>
      </c>
      <c r="CA52" s="48"/>
      <c r="CB52" s="48"/>
      <c r="CC52" s="48"/>
      <c r="CD52" s="47">
        <v>0</v>
      </c>
      <c r="CE52" s="48"/>
      <c r="CF52" s="48"/>
      <c r="CG52" s="48"/>
      <c r="CH52" s="47">
        <v>0</v>
      </c>
      <c r="CI52" s="48"/>
      <c r="CJ52" s="48"/>
      <c r="CK52" s="48"/>
      <c r="CL52" s="48"/>
      <c r="CM52" s="47">
        <v>0</v>
      </c>
      <c r="CN52" s="48"/>
      <c r="CO52" s="48"/>
      <c r="CP52" s="48"/>
      <c r="CQ52" s="47">
        <v>0</v>
      </c>
      <c r="CR52" s="48"/>
      <c r="CS52" s="48"/>
      <c r="CT52" s="48"/>
      <c r="CU52" s="47">
        <v>0</v>
      </c>
      <c r="CV52" s="48"/>
      <c r="CW52" s="48"/>
      <c r="CX52" s="48"/>
      <c r="CY52" s="48"/>
      <c r="CZ52" s="47">
        <v>0</v>
      </c>
      <c r="DA52" s="48"/>
      <c r="DB52" s="48"/>
      <c r="DC52" s="48"/>
    </row>
    <row r="53" spans="1:107" ht="14.1" customHeight="1" x14ac:dyDescent="0.25">
      <c r="B53" s="34" t="s">
        <v>105</v>
      </c>
      <c r="K53" s="35">
        <v>0</v>
      </c>
      <c r="L53" s="47">
        <v>0</v>
      </c>
      <c r="M53" s="48"/>
      <c r="N53" s="48"/>
      <c r="O53" s="48"/>
      <c r="P53" s="48"/>
      <c r="Q53" s="47">
        <v>0</v>
      </c>
      <c r="R53" s="48"/>
      <c r="S53" s="48"/>
      <c r="T53" s="48"/>
      <c r="U53" s="47">
        <v>0</v>
      </c>
      <c r="V53" s="48"/>
      <c r="W53" s="48"/>
      <c r="X53" s="48"/>
      <c r="Y53" s="47">
        <v>0</v>
      </c>
      <c r="Z53" s="48"/>
      <c r="AA53" s="48"/>
      <c r="AB53" s="48"/>
      <c r="AC53" s="48"/>
      <c r="AD53" s="47">
        <v>0</v>
      </c>
      <c r="AE53" s="48"/>
      <c r="AF53" s="48"/>
      <c r="AG53" s="48"/>
      <c r="AH53" s="47">
        <v>0</v>
      </c>
      <c r="AI53" s="48"/>
      <c r="AJ53" s="48"/>
      <c r="AK53" s="48"/>
      <c r="AL53" s="48"/>
      <c r="AM53" s="47">
        <v>0</v>
      </c>
      <c r="AN53" s="48"/>
      <c r="AO53" s="48"/>
      <c r="AP53" s="48"/>
      <c r="AQ53" s="47">
        <v>0</v>
      </c>
      <c r="AR53" s="48"/>
      <c r="AS53" s="48"/>
      <c r="AT53" s="48"/>
      <c r="AU53" s="47">
        <v>0</v>
      </c>
      <c r="AV53" s="48"/>
      <c r="AW53" s="48"/>
      <c r="AX53" s="48"/>
      <c r="AY53" s="48"/>
      <c r="AZ53" s="47">
        <v>0</v>
      </c>
      <c r="BA53" s="48"/>
      <c r="BB53" s="48"/>
      <c r="BC53" s="48"/>
      <c r="BD53" s="47">
        <v>0</v>
      </c>
      <c r="BE53" s="48"/>
      <c r="BF53" s="48"/>
      <c r="BG53" s="48"/>
      <c r="BH53" s="47">
        <v>0</v>
      </c>
      <c r="BI53" s="48"/>
      <c r="BJ53" s="48"/>
      <c r="BK53" s="48"/>
      <c r="BL53" s="47">
        <v>0</v>
      </c>
      <c r="BM53" s="48"/>
      <c r="BN53" s="48"/>
      <c r="BO53" s="48"/>
      <c r="BP53" s="48"/>
      <c r="BQ53" s="47">
        <v>0</v>
      </c>
      <c r="BR53" s="48"/>
      <c r="BS53" s="48"/>
      <c r="BT53" s="48"/>
      <c r="BU53" s="47">
        <v>0</v>
      </c>
      <c r="BV53" s="48"/>
      <c r="BW53" s="48"/>
      <c r="BX53" s="48"/>
      <c r="BY53" s="48"/>
      <c r="BZ53" s="47">
        <v>0</v>
      </c>
      <c r="CA53" s="48"/>
      <c r="CB53" s="48"/>
      <c r="CC53" s="48"/>
      <c r="CD53" s="47">
        <v>0</v>
      </c>
      <c r="CE53" s="48"/>
      <c r="CF53" s="48"/>
      <c r="CG53" s="48"/>
      <c r="CH53" s="47">
        <v>0</v>
      </c>
      <c r="CI53" s="48"/>
      <c r="CJ53" s="48"/>
      <c r="CK53" s="48"/>
      <c r="CL53" s="48"/>
      <c r="CM53" s="47">
        <v>0</v>
      </c>
      <c r="CN53" s="48"/>
      <c r="CO53" s="48"/>
      <c r="CP53" s="48"/>
      <c r="CQ53" s="47">
        <v>0</v>
      </c>
      <c r="CR53" s="48"/>
      <c r="CS53" s="48"/>
      <c r="CT53" s="48"/>
      <c r="CU53" s="47">
        <v>0</v>
      </c>
      <c r="CV53" s="48"/>
      <c r="CW53" s="48"/>
      <c r="CX53" s="48"/>
      <c r="CY53" s="48"/>
      <c r="CZ53" s="47">
        <v>0</v>
      </c>
      <c r="DA53" s="48"/>
      <c r="DB53" s="48"/>
      <c r="DC53" s="48"/>
    </row>
    <row r="54" spans="1:107" ht="14.1" customHeight="1" x14ac:dyDescent="0.25">
      <c r="B54" s="36" t="s">
        <v>106</v>
      </c>
      <c r="K54" s="37">
        <f>SUM(K40:K53)</f>
        <v>0</v>
      </c>
      <c r="L54" s="50">
        <f>SUM(L40:L53)</f>
        <v>0</v>
      </c>
      <c r="M54" s="51"/>
      <c r="N54" s="51"/>
      <c r="O54" s="51"/>
      <c r="P54" s="51"/>
      <c r="Q54" s="50">
        <f>SUM(Q40:Q53)</f>
        <v>9.1</v>
      </c>
      <c r="R54" s="51"/>
      <c r="S54" s="51"/>
      <c r="T54" s="51"/>
      <c r="U54" s="50">
        <f>SUM(U40:U53)</f>
        <v>9.35</v>
      </c>
      <c r="V54" s="51"/>
      <c r="W54" s="51"/>
      <c r="X54" s="51"/>
      <c r="Y54" s="50">
        <f>SUM(Y40:Y53)</f>
        <v>8.91</v>
      </c>
      <c r="Z54" s="51"/>
      <c r="AA54" s="51"/>
      <c r="AB54" s="51"/>
      <c r="AC54" s="51"/>
      <c r="AD54" s="50">
        <f>SUM(AD40:AD53)</f>
        <v>8.5599999999999987</v>
      </c>
      <c r="AE54" s="51"/>
      <c r="AF54" s="51"/>
      <c r="AG54" s="51"/>
      <c r="AH54" s="50">
        <f>SUM(AH40:AH53)</f>
        <v>9.25</v>
      </c>
      <c r="AI54" s="51"/>
      <c r="AJ54" s="51"/>
      <c r="AK54" s="51"/>
      <c r="AL54" s="51"/>
      <c r="AM54" s="50">
        <f>SUM(AM40:AM53)</f>
        <v>8.15</v>
      </c>
      <c r="AN54" s="51"/>
      <c r="AO54" s="51"/>
      <c r="AP54" s="51"/>
      <c r="AQ54" s="50">
        <f>SUM(AQ40:AQ53)</f>
        <v>7.6</v>
      </c>
      <c r="AR54" s="51"/>
      <c r="AS54" s="51"/>
      <c r="AT54" s="51"/>
      <c r="AU54" s="50">
        <f>SUM(AU40:AU53)</f>
        <v>7.6</v>
      </c>
      <c r="AV54" s="51"/>
      <c r="AW54" s="51"/>
      <c r="AX54" s="51"/>
      <c r="AY54" s="51"/>
      <c r="AZ54" s="50">
        <f>SUM(AZ40:AZ53)</f>
        <v>7.6</v>
      </c>
      <c r="BA54" s="51"/>
      <c r="BB54" s="51"/>
      <c r="BC54" s="51"/>
      <c r="BD54" s="50">
        <f>SUM(BD40:BD53)</f>
        <v>9.1</v>
      </c>
      <c r="BE54" s="51"/>
      <c r="BF54" s="51"/>
      <c r="BG54" s="51"/>
      <c r="BH54" s="50">
        <f>SUM(BH40:BH53)</f>
        <v>9.35</v>
      </c>
      <c r="BI54" s="51"/>
      <c r="BJ54" s="51"/>
      <c r="BK54" s="51"/>
      <c r="BL54" s="50">
        <f>SUM(BL40:BL53)</f>
        <v>8.91</v>
      </c>
      <c r="BM54" s="51"/>
      <c r="BN54" s="51"/>
      <c r="BO54" s="51"/>
      <c r="BP54" s="51"/>
      <c r="BQ54" s="50">
        <f>SUM(BQ40:BQ53)</f>
        <v>8.5599999999999987</v>
      </c>
      <c r="BR54" s="51"/>
      <c r="BS54" s="51"/>
      <c r="BT54" s="51"/>
      <c r="BU54" s="50">
        <f>SUM(BU40:BU53)</f>
        <v>9.25</v>
      </c>
      <c r="BV54" s="51"/>
      <c r="BW54" s="51"/>
      <c r="BX54" s="51"/>
      <c r="BY54" s="51"/>
      <c r="BZ54" s="50">
        <f>SUM(BZ40:BZ53)</f>
        <v>8.15</v>
      </c>
      <c r="CA54" s="51"/>
      <c r="CB54" s="51"/>
      <c r="CC54" s="51"/>
      <c r="CD54" s="50">
        <f>SUM(CD40:CD53)</f>
        <v>7.6</v>
      </c>
      <c r="CE54" s="51"/>
      <c r="CF54" s="51"/>
      <c r="CG54" s="51"/>
      <c r="CH54" s="50">
        <f>SUM(CH40:CH53)</f>
        <v>7.6</v>
      </c>
      <c r="CI54" s="51"/>
      <c r="CJ54" s="51"/>
      <c r="CK54" s="51"/>
      <c r="CL54" s="51"/>
      <c r="CM54" s="50">
        <f>SUM(CM40:CM53)</f>
        <v>7.6</v>
      </c>
      <c r="CN54" s="51"/>
      <c r="CO54" s="51"/>
      <c r="CP54" s="51"/>
      <c r="CQ54" s="50">
        <f>SUM(CQ40:CQ53)</f>
        <v>0</v>
      </c>
      <c r="CR54" s="51"/>
      <c r="CS54" s="51"/>
      <c r="CT54" s="51"/>
      <c r="CU54" s="50">
        <f>SUM(CU40:CU53)</f>
        <v>0</v>
      </c>
      <c r="CV54" s="51"/>
      <c r="CW54" s="51"/>
      <c r="CX54" s="51"/>
      <c r="CY54" s="51"/>
      <c r="CZ54" s="50">
        <f>SUM(CZ40:CZ53)</f>
        <v>0</v>
      </c>
      <c r="DA54" s="51"/>
      <c r="DB54" s="51"/>
      <c r="DC54" s="51"/>
    </row>
    <row r="56" spans="1:107" x14ac:dyDescent="0.25">
      <c r="A56" s="25" t="s">
        <v>57</v>
      </c>
    </row>
    <row r="57" spans="1:107" x14ac:dyDescent="0.25">
      <c r="A57" s="26" t="s">
        <v>107</v>
      </c>
    </row>
    <row r="58" spans="1:107" x14ac:dyDescent="0.25">
      <c r="A58" s="26" t="s">
        <v>108</v>
      </c>
    </row>
    <row r="59" spans="1:107" x14ac:dyDescent="0.25">
      <c r="A59" s="26" t="s">
        <v>109</v>
      </c>
    </row>
    <row r="60" spans="1:107" x14ac:dyDescent="0.25">
      <c r="A60" s="26" t="s">
        <v>110</v>
      </c>
    </row>
    <row r="61" spans="1:107" x14ac:dyDescent="0.25">
      <c r="A61" s="26" t="s">
        <v>111</v>
      </c>
    </row>
    <row r="62" spans="1:107" x14ac:dyDescent="0.25">
      <c r="A62" s="26" t="s">
        <v>112</v>
      </c>
    </row>
    <row r="63" spans="1:107" x14ac:dyDescent="0.25">
      <c r="A63" s="26" t="s">
        <v>113</v>
      </c>
    </row>
    <row r="64" spans="1:107" x14ac:dyDescent="0.25">
      <c r="A64" s="26" t="s">
        <v>114</v>
      </c>
    </row>
    <row r="65" spans="1:1" x14ac:dyDescent="0.25">
      <c r="A65" s="26" t="s">
        <v>115</v>
      </c>
    </row>
    <row r="66" spans="1:1" x14ac:dyDescent="0.25">
      <c r="A66" s="26" t="s">
        <v>116</v>
      </c>
    </row>
  </sheetData>
  <mergeCells count="385">
    <mergeCell ref="CZ46:DC46"/>
    <mergeCell ref="AQ46:AT46"/>
    <mergeCell ref="CM50:CP50"/>
    <mergeCell ref="A6:DC6"/>
    <mergeCell ref="CD40:CG40"/>
    <mergeCell ref="CZ48:DC48"/>
    <mergeCell ref="CU53:CY53"/>
    <mergeCell ref="CZ43:DC43"/>
    <mergeCell ref="BH39:BK39"/>
    <mergeCell ref="A32:DC32"/>
    <mergeCell ref="CD45:CG45"/>
    <mergeCell ref="L45:P45"/>
    <mergeCell ref="AQ41:AT41"/>
    <mergeCell ref="CM45:CP45"/>
    <mergeCell ref="AZ44:BC44"/>
    <mergeCell ref="AQ51:AT51"/>
    <mergeCell ref="CH50:CL50"/>
    <mergeCell ref="AH46:AL46"/>
    <mergeCell ref="Y49:AC49"/>
    <mergeCell ref="CD42:CG42"/>
    <mergeCell ref="CU48:CY48"/>
    <mergeCell ref="L40:P40"/>
    <mergeCell ref="CH52:CL52"/>
    <mergeCell ref="BZ53:CC53"/>
    <mergeCell ref="CZ40:DC40"/>
    <mergeCell ref="CU39:CY39"/>
    <mergeCell ref="BH46:BK46"/>
    <mergeCell ref="AZ51:BC51"/>
    <mergeCell ref="U47:X47"/>
    <mergeCell ref="BU4:BY4"/>
    <mergeCell ref="CQ4:CT4"/>
    <mergeCell ref="BL43:BP43"/>
    <mergeCell ref="Y4:AC4"/>
    <mergeCell ref="AQ48:AT48"/>
    <mergeCell ref="BZ4:CC4"/>
    <mergeCell ref="CH49:CL49"/>
    <mergeCell ref="U50:X50"/>
    <mergeCell ref="AD4:AG4"/>
    <mergeCell ref="U44:X44"/>
    <mergeCell ref="BZ39:CC39"/>
    <mergeCell ref="CU40:CY40"/>
    <mergeCell ref="AU49:AY49"/>
    <mergeCell ref="CH44:CL44"/>
    <mergeCell ref="U45:X45"/>
    <mergeCell ref="BQ49:BT49"/>
    <mergeCell ref="AH51:AL51"/>
    <mergeCell ref="CD47:CG47"/>
    <mergeCell ref="BL41:BP41"/>
    <mergeCell ref="U4:X4"/>
    <mergeCell ref="CM49:CP49"/>
    <mergeCell ref="AH43:AL43"/>
    <mergeCell ref="CU50:CY50"/>
    <mergeCell ref="CH54:CL54"/>
    <mergeCell ref="BD43:BG43"/>
    <mergeCell ref="Q39:T39"/>
    <mergeCell ref="CU52:CY52"/>
    <mergeCell ref="CM53:CP53"/>
    <mergeCell ref="AQ53:AT53"/>
    <mergeCell ref="BL54:BP54"/>
    <mergeCell ref="AM52:AP52"/>
    <mergeCell ref="CM40:CP40"/>
    <mergeCell ref="AM49:AP49"/>
    <mergeCell ref="AM39:AP39"/>
    <mergeCell ref="U53:X53"/>
    <mergeCell ref="AU50:AY50"/>
    <mergeCell ref="AU42:AY42"/>
    <mergeCell ref="BQ50:BT50"/>
    <mergeCell ref="AD49:AG49"/>
    <mergeCell ref="I3:J3"/>
    <mergeCell ref="BU48:BY48"/>
    <mergeCell ref="AZ53:BC53"/>
    <mergeCell ref="U49:X49"/>
    <mergeCell ref="CQ48:CT48"/>
    <mergeCell ref="BD47:BG47"/>
    <mergeCell ref="AQ42:AT42"/>
    <mergeCell ref="BD4:BG4"/>
    <mergeCell ref="CU49:CY49"/>
    <mergeCell ref="AM4:AP4"/>
    <mergeCell ref="BZ41:CC41"/>
    <mergeCell ref="AQ4:AT4"/>
    <mergeCell ref="AM50:AP50"/>
    <mergeCell ref="CU42:CY42"/>
    <mergeCell ref="CM52:CP52"/>
    <mergeCell ref="BU46:BY46"/>
    <mergeCell ref="AQ44:AT44"/>
    <mergeCell ref="CM39:CP39"/>
    <mergeCell ref="L43:P43"/>
    <mergeCell ref="BZ43:CC43"/>
    <mergeCell ref="CU44:CY44"/>
    <mergeCell ref="CD49:CG49"/>
    <mergeCell ref="AQ45:AT45"/>
    <mergeCell ref="CM47:CP47"/>
    <mergeCell ref="BL4:BP4"/>
    <mergeCell ref="AH54:AL54"/>
    <mergeCell ref="AH41:AL41"/>
    <mergeCell ref="BD44:BG44"/>
    <mergeCell ref="Q46:T46"/>
    <mergeCell ref="AU39:AY39"/>
    <mergeCell ref="Q48:T48"/>
    <mergeCell ref="AD50:AG50"/>
    <mergeCell ref="L53:P53"/>
    <mergeCell ref="Q41:T41"/>
    <mergeCell ref="BH49:BK49"/>
    <mergeCell ref="AD52:AG52"/>
    <mergeCell ref="Y51:AC51"/>
    <mergeCell ref="AD39:AG39"/>
    <mergeCell ref="Q43:T43"/>
    <mergeCell ref="U54:X54"/>
    <mergeCell ref="AQ47:AT47"/>
    <mergeCell ref="BH50:BK50"/>
    <mergeCell ref="Q51:T51"/>
    <mergeCell ref="BH52:BK52"/>
    <mergeCell ref="AZ46:BC46"/>
    <mergeCell ref="U42:X42"/>
    <mergeCell ref="BD40:BG40"/>
    <mergeCell ref="BD54:BG54"/>
    <mergeCell ref="Q40:T40"/>
    <mergeCell ref="Y41:AC41"/>
    <mergeCell ref="BU45:BY45"/>
    <mergeCell ref="AZ50:BC50"/>
    <mergeCell ref="AM54:AP54"/>
    <mergeCell ref="CQ45:CT45"/>
    <mergeCell ref="Y43:AC43"/>
    <mergeCell ref="BU47:BY47"/>
    <mergeCell ref="AZ52:BC52"/>
    <mergeCell ref="AU51:AY51"/>
    <mergeCell ref="CD53:CG53"/>
    <mergeCell ref="CQ40:CT40"/>
    <mergeCell ref="BZ47:CC47"/>
    <mergeCell ref="AD51:AG51"/>
    <mergeCell ref="CM43:CP43"/>
    <mergeCell ref="CQ46:CT46"/>
    <mergeCell ref="BZ54:CC54"/>
    <mergeCell ref="CH41:CL41"/>
    <mergeCell ref="CH43:CL43"/>
    <mergeCell ref="BZ42:CC42"/>
    <mergeCell ref="BU41:BY41"/>
    <mergeCell ref="BU51:BY51"/>
    <mergeCell ref="BZ44:CC44"/>
    <mergeCell ref="BU43:BY43"/>
    <mergeCell ref="A2:DC2"/>
    <mergeCell ref="BL48:BP48"/>
    <mergeCell ref="BH40:BK40"/>
    <mergeCell ref="BD51:BG51"/>
    <mergeCell ref="L42:P42"/>
    <mergeCell ref="CM42:CP42"/>
    <mergeCell ref="AH50:AL50"/>
    <mergeCell ref="CM4:CP4"/>
    <mergeCell ref="Y40:AC40"/>
    <mergeCell ref="BU44:BY44"/>
    <mergeCell ref="CM44:CP44"/>
    <mergeCell ref="AM43:AP43"/>
    <mergeCell ref="AM40:AP40"/>
    <mergeCell ref="AU41:AY41"/>
    <mergeCell ref="CD50:CG50"/>
    <mergeCell ref="AD46:AG46"/>
    <mergeCell ref="BQ41:BT41"/>
    <mergeCell ref="AD40:AG40"/>
    <mergeCell ref="Q50:T50"/>
    <mergeCell ref="AU43:AY43"/>
    <mergeCell ref="CD39:CG39"/>
    <mergeCell ref="L47:P47"/>
    <mergeCell ref="BU42:BY42"/>
    <mergeCell ref="CH4:CL4"/>
    <mergeCell ref="CZ50:DC50"/>
    <mergeCell ref="CM54:CP54"/>
    <mergeCell ref="AH48:AL48"/>
    <mergeCell ref="AZ40:BC40"/>
    <mergeCell ref="CD44:CG44"/>
    <mergeCell ref="Y52:AC52"/>
    <mergeCell ref="L44:P44"/>
    <mergeCell ref="CZ52:DC52"/>
    <mergeCell ref="CZ45:DC45"/>
    <mergeCell ref="AH45:AL45"/>
    <mergeCell ref="CQ49:CT49"/>
    <mergeCell ref="CZ47:DC47"/>
    <mergeCell ref="Q44:T44"/>
    <mergeCell ref="AH47:AL47"/>
    <mergeCell ref="U52:X52"/>
    <mergeCell ref="BQ43:BT43"/>
    <mergeCell ref="AU54:AY54"/>
    <mergeCell ref="BQ54:BT54"/>
    <mergeCell ref="BL53:BP53"/>
    <mergeCell ref="CD52:CG52"/>
    <mergeCell ref="AD54:AG54"/>
    <mergeCell ref="Y53:AC53"/>
    <mergeCell ref="CZ53:DC53"/>
    <mergeCell ref="AH40:AL40"/>
    <mergeCell ref="A1:DC1"/>
    <mergeCell ref="U41:X41"/>
    <mergeCell ref="CQ53:CT53"/>
    <mergeCell ref="BQ45:BT45"/>
    <mergeCell ref="CH51:CL51"/>
    <mergeCell ref="BL50:BP50"/>
    <mergeCell ref="U43:X43"/>
    <mergeCell ref="BQ47:BT47"/>
    <mergeCell ref="BL42:BP42"/>
    <mergeCell ref="BD53:BG53"/>
    <mergeCell ref="BD45:BG45"/>
    <mergeCell ref="CZ42:DC42"/>
    <mergeCell ref="CU41:CY41"/>
    <mergeCell ref="BZ46:CC46"/>
    <mergeCell ref="AH42:AL42"/>
    <mergeCell ref="Y44:AC44"/>
    <mergeCell ref="BH4:BK4"/>
    <mergeCell ref="CZ44:DC44"/>
    <mergeCell ref="AM53:AP53"/>
    <mergeCell ref="AM47:AP47"/>
    <mergeCell ref="AH44:AL44"/>
    <mergeCell ref="CD41:CG41"/>
    <mergeCell ref="BL45:BP45"/>
    <mergeCell ref="AQ50:AT50"/>
    <mergeCell ref="CZ54:DC54"/>
    <mergeCell ref="CH45:CL45"/>
    <mergeCell ref="BH54:BK54"/>
    <mergeCell ref="U46:X46"/>
    <mergeCell ref="BH41:BK41"/>
    <mergeCell ref="A9:DC9"/>
    <mergeCell ref="CU43:CY43"/>
    <mergeCell ref="CH47:CL47"/>
    <mergeCell ref="BZ48:CC48"/>
    <mergeCell ref="U48:X48"/>
    <mergeCell ref="CH46:CL46"/>
    <mergeCell ref="BU53:BY53"/>
    <mergeCell ref="CH40:CL40"/>
    <mergeCell ref="CU54:CY54"/>
    <mergeCell ref="CD54:CG54"/>
    <mergeCell ref="L54:P54"/>
    <mergeCell ref="L41:P41"/>
    <mergeCell ref="CM41:CP41"/>
    <mergeCell ref="AM44:AP44"/>
    <mergeCell ref="CD43:CG43"/>
    <mergeCell ref="BL47:BP47"/>
    <mergeCell ref="BD48:BG48"/>
    <mergeCell ref="AQ52:AT52"/>
    <mergeCell ref="AQ39:AT39"/>
    <mergeCell ref="CU46:CY46"/>
    <mergeCell ref="BD52:BG52"/>
    <mergeCell ref="CQ47:CT47"/>
    <mergeCell ref="BD39:BG39"/>
    <mergeCell ref="BH43:BK43"/>
    <mergeCell ref="AZ4:BC4"/>
    <mergeCell ref="CM51:CP51"/>
    <mergeCell ref="BQ42:BT42"/>
    <mergeCell ref="CD4:CG4"/>
    <mergeCell ref="BL44:BP44"/>
    <mergeCell ref="BL46:BP46"/>
    <mergeCell ref="CH48:CL48"/>
    <mergeCell ref="BZ51:CC51"/>
    <mergeCell ref="CU4:CY4"/>
    <mergeCell ref="BQ40:BT40"/>
    <mergeCell ref="BD46:BG46"/>
    <mergeCell ref="A25:DC25"/>
    <mergeCell ref="U39:X39"/>
    <mergeCell ref="BD42:BG42"/>
    <mergeCell ref="Y46:AC46"/>
    <mergeCell ref="L50:P50"/>
    <mergeCell ref="BQ4:BT4"/>
    <mergeCell ref="AZ49:BC49"/>
    <mergeCell ref="BL51:BP51"/>
    <mergeCell ref="BZ40:CC40"/>
    <mergeCell ref="BU39:BY39"/>
    <mergeCell ref="U40:X40"/>
    <mergeCell ref="CQ52:CT52"/>
    <mergeCell ref="BQ44:BT44"/>
    <mergeCell ref="CQ39:CT39"/>
    <mergeCell ref="BL49:BP49"/>
    <mergeCell ref="BD50:BG50"/>
    <mergeCell ref="AQ54:AT54"/>
    <mergeCell ref="AH39:AL39"/>
    <mergeCell ref="AQ49:AT49"/>
    <mergeCell ref="Y47:AC47"/>
    <mergeCell ref="U51:X51"/>
    <mergeCell ref="AH53:AL53"/>
    <mergeCell ref="AU40:AY40"/>
    <mergeCell ref="AM41:AP41"/>
    <mergeCell ref="Y50:AC50"/>
    <mergeCell ref="Y48:AC48"/>
    <mergeCell ref="AZ39:BC39"/>
    <mergeCell ref="CQ51:CT51"/>
    <mergeCell ref="BL40:BP40"/>
    <mergeCell ref="BD41:BG41"/>
    <mergeCell ref="CH42:CL42"/>
    <mergeCell ref="AD41:AG41"/>
    <mergeCell ref="BZ45:CC45"/>
    <mergeCell ref="BH48:BK48"/>
    <mergeCell ref="BU50:BY50"/>
    <mergeCell ref="AD43:AG43"/>
    <mergeCell ref="CQ50:CT50"/>
    <mergeCell ref="CM48:CP48"/>
    <mergeCell ref="BU52:BY52"/>
    <mergeCell ref="AU44:AY44"/>
    <mergeCell ref="CQ54:CT54"/>
    <mergeCell ref="CQ41:CT41"/>
    <mergeCell ref="BQ46:BT46"/>
    <mergeCell ref="CH39:CL39"/>
    <mergeCell ref="AU48:AY48"/>
    <mergeCell ref="AH52:AL52"/>
    <mergeCell ref="BQ48:BT48"/>
    <mergeCell ref="AD47:AG47"/>
    <mergeCell ref="AM51:AP51"/>
    <mergeCell ref="BH45:BK45"/>
    <mergeCell ref="BH47:BK47"/>
    <mergeCell ref="BU49:BY49"/>
    <mergeCell ref="AZ54:BC54"/>
    <mergeCell ref="AU53:AY53"/>
    <mergeCell ref="AZ41:BC41"/>
    <mergeCell ref="BH51:BK51"/>
    <mergeCell ref="AU46:AY46"/>
    <mergeCell ref="CQ42:CT42"/>
    <mergeCell ref="AZ43:BC43"/>
    <mergeCell ref="BD49:BG49"/>
    <mergeCell ref="CQ44:CT44"/>
    <mergeCell ref="AD53:AG53"/>
    <mergeCell ref="AQ40:AT40"/>
    <mergeCell ref="BZ50:CC50"/>
    <mergeCell ref="BQ53:BT53"/>
    <mergeCell ref="AD44:AG44"/>
    <mergeCell ref="Q54:T54"/>
    <mergeCell ref="CD51:CG51"/>
    <mergeCell ref="AM48:AP48"/>
    <mergeCell ref="AD45:AG45"/>
    <mergeCell ref="L49:P49"/>
    <mergeCell ref="BZ49:CC49"/>
    <mergeCell ref="AM45:AP45"/>
    <mergeCell ref="BU54:BY54"/>
    <mergeCell ref="Q52:T52"/>
    <mergeCell ref="L51:P51"/>
    <mergeCell ref="Y45:AC45"/>
    <mergeCell ref="Q45:T45"/>
    <mergeCell ref="Q47:T47"/>
    <mergeCell ref="AD48:AG48"/>
    <mergeCell ref="BZ52:CC52"/>
    <mergeCell ref="BH53:BK53"/>
    <mergeCell ref="BQ51:BT51"/>
    <mergeCell ref="Q53:T53"/>
    <mergeCell ref="L52:P52"/>
    <mergeCell ref="Q49:T49"/>
    <mergeCell ref="BL39:BP39"/>
    <mergeCell ref="L48:P48"/>
    <mergeCell ref="BH44:BK44"/>
    <mergeCell ref="AZ47:BC47"/>
    <mergeCell ref="Y39:AC39"/>
    <mergeCell ref="CU51:CY51"/>
    <mergeCell ref="AH4:AL4"/>
    <mergeCell ref="CZ39:DC39"/>
    <mergeCell ref="AZ48:BC48"/>
    <mergeCell ref="CQ43:CT43"/>
    <mergeCell ref="AU45:AY45"/>
    <mergeCell ref="AM46:AP46"/>
    <mergeCell ref="A37:DC37"/>
    <mergeCell ref="CZ4:DC4"/>
    <mergeCell ref="Q42:T42"/>
    <mergeCell ref="L4:P4"/>
    <mergeCell ref="Q4:T4"/>
    <mergeCell ref="Y42:AC42"/>
    <mergeCell ref="CU45:CY45"/>
    <mergeCell ref="A38:DC38"/>
    <mergeCell ref="CU47:CY47"/>
    <mergeCell ref="L39:P39"/>
    <mergeCell ref="AQ43:AT43"/>
    <mergeCell ref="CH53:CL53"/>
    <mergeCell ref="AU52:AY52"/>
    <mergeCell ref="A18:DC18"/>
    <mergeCell ref="CD48:CG48"/>
    <mergeCell ref="BQ52:BT52"/>
    <mergeCell ref="BQ39:BT39"/>
    <mergeCell ref="AZ42:BC42"/>
    <mergeCell ref="AU4:AY4"/>
    <mergeCell ref="Y54:AC54"/>
    <mergeCell ref="AD42:AG42"/>
    <mergeCell ref="CZ41:DC41"/>
    <mergeCell ref="AM42:AP42"/>
    <mergeCell ref="CZ51:DC51"/>
    <mergeCell ref="CZ49:DC49"/>
    <mergeCell ref="BU40:BY40"/>
    <mergeCell ref="AZ45:BC45"/>
    <mergeCell ref="AH49:AL49"/>
    <mergeCell ref="A35:B35"/>
    <mergeCell ref="AU47:AY47"/>
    <mergeCell ref="CD46:CG46"/>
    <mergeCell ref="L46:P46"/>
    <mergeCell ref="CM46:CP46"/>
    <mergeCell ref="BH42:BK42"/>
    <mergeCell ref="BL52:BP52"/>
  </mergeCells>
  <conditionalFormatting sqref="K5:DC5">
    <cfRule type="expression" dxfId="37" priority="38">
      <formula>AND(K5&lt;=TODAY(),K5+6&gt;=TODAY())</formula>
    </cfRule>
  </conditionalFormatting>
  <conditionalFormatting sqref="K7:DC7">
    <cfRule type="expression" dxfId="36" priority="1" stopIfTrue="1">
      <formula>AND($D7&lt;=K$5+6,$E7&gt;=K$5)</formula>
    </cfRule>
  </conditionalFormatting>
  <conditionalFormatting sqref="K7:DC8">
    <cfRule type="expression" dxfId="35" priority="3">
      <formula>AND(K$5&lt;=TODAY(),K$5+6&gt;=TODAY())</formula>
    </cfRule>
  </conditionalFormatting>
  <conditionalFormatting sqref="K8:DC8">
    <cfRule type="expression" dxfId="34" priority="2" stopIfTrue="1">
      <formula>AND($F8&lt;=K$5+6,$G8&gt;=K$5)</formula>
    </cfRule>
  </conditionalFormatting>
  <conditionalFormatting sqref="K10:DC10">
    <cfRule type="expression" dxfId="33" priority="4" stopIfTrue="1">
      <formula>AND($D10&lt;=K$5+6,$E10&gt;=K$5)</formula>
    </cfRule>
  </conditionalFormatting>
  <conditionalFormatting sqref="K10:DC11">
    <cfRule type="expression" dxfId="32" priority="6">
      <formula>AND(K$5&lt;=TODAY(),K$5+6&gt;=TODAY())</formula>
    </cfRule>
  </conditionalFormatting>
  <conditionalFormatting sqref="K11:DC11">
    <cfRule type="expression" dxfId="31" priority="5" stopIfTrue="1">
      <formula>AND($F11&lt;=K$5+6,$G11&gt;=K$5)</formula>
    </cfRule>
  </conditionalFormatting>
  <conditionalFormatting sqref="K12:DC12">
    <cfRule type="expression" dxfId="30" priority="7" stopIfTrue="1">
      <formula>AND($D12&lt;=K$5+6,$E12&gt;=K$5)</formula>
    </cfRule>
  </conditionalFormatting>
  <conditionalFormatting sqref="K12:DC13">
    <cfRule type="expression" dxfId="29" priority="9">
      <formula>AND(K$5&lt;=TODAY(),K$5+6&gt;=TODAY())</formula>
    </cfRule>
  </conditionalFormatting>
  <conditionalFormatting sqref="K13:DC13">
    <cfRule type="expression" dxfId="28" priority="8" stopIfTrue="1">
      <formula>AND($F13&lt;=K$5+6,$G13&gt;=K$5)</formula>
    </cfRule>
  </conditionalFormatting>
  <conditionalFormatting sqref="K14:DC14">
    <cfRule type="expression" dxfId="27" priority="10" stopIfTrue="1">
      <formula>AND($D14&lt;=K$5+6,$E14&gt;=K$5)</formula>
    </cfRule>
  </conditionalFormatting>
  <conditionalFormatting sqref="K14:DC15">
    <cfRule type="expression" dxfId="26" priority="12">
      <formula>AND(K$5&lt;=TODAY(),K$5+6&gt;=TODAY())</formula>
    </cfRule>
  </conditionalFormatting>
  <conditionalFormatting sqref="K15:DC15">
    <cfRule type="expression" dxfId="25" priority="11" stopIfTrue="1">
      <formula>AND($F15&lt;=K$5+6,$G15&gt;=K$5)</formula>
    </cfRule>
  </conditionalFormatting>
  <conditionalFormatting sqref="K16:DC16">
    <cfRule type="expression" dxfId="24" priority="13" stopIfTrue="1">
      <formula>AND($D16&lt;=K$5+6,$E16&gt;=K$5)</formula>
    </cfRule>
  </conditionalFormatting>
  <conditionalFormatting sqref="K16:DC17">
    <cfRule type="expression" dxfId="23" priority="15">
      <formula>AND(K$5&lt;=TODAY(),K$5+6&gt;=TODAY())</formula>
    </cfRule>
  </conditionalFormatting>
  <conditionalFormatting sqref="K17:DC17">
    <cfRule type="expression" dxfId="22" priority="14" stopIfTrue="1">
      <formula>AND($F17&lt;=K$5+6,$G17&gt;=K$5)</formula>
    </cfRule>
  </conditionalFormatting>
  <conditionalFormatting sqref="K19:DC19">
    <cfRule type="expression" dxfId="21" priority="16" stopIfTrue="1">
      <formula>AND($D19&lt;=K$5+6,$E19&gt;=K$5)</formula>
    </cfRule>
  </conditionalFormatting>
  <conditionalFormatting sqref="K19:DC20">
    <cfRule type="expression" dxfId="20" priority="18">
      <formula>AND(K$5&lt;=TODAY(),K$5+6&gt;=TODAY())</formula>
    </cfRule>
  </conditionalFormatting>
  <conditionalFormatting sqref="K20:DC20">
    <cfRule type="expression" dxfId="19" priority="17" stopIfTrue="1">
      <formula>AND($F20&lt;=K$5+6,$G20&gt;=K$5)</formula>
    </cfRule>
  </conditionalFormatting>
  <conditionalFormatting sqref="K21:DC21">
    <cfRule type="expression" dxfId="18" priority="19" stopIfTrue="1">
      <formula>AND($D21&lt;=K$5+6,$E21&gt;=K$5)</formula>
    </cfRule>
  </conditionalFormatting>
  <conditionalFormatting sqref="K21:DC22">
    <cfRule type="expression" dxfId="17" priority="21">
      <formula>AND(K$5&lt;=TODAY(),K$5+6&gt;=TODAY())</formula>
    </cfRule>
  </conditionalFormatting>
  <conditionalFormatting sqref="K22:DC22">
    <cfRule type="expression" dxfId="16" priority="20" stopIfTrue="1">
      <formula>AND($F22&lt;=K$5+6,$G22&gt;=K$5)</formula>
    </cfRule>
  </conditionalFormatting>
  <conditionalFormatting sqref="K23:DC23">
    <cfRule type="expression" dxfId="15" priority="22" stopIfTrue="1">
      <formula>AND($D23&lt;=K$5+6,$E23&gt;=K$5)</formula>
    </cfRule>
  </conditionalFormatting>
  <conditionalFormatting sqref="K23:DC24">
    <cfRule type="expression" dxfId="14" priority="24">
      <formula>AND(K$5&lt;=TODAY(),K$5+6&gt;=TODAY())</formula>
    </cfRule>
  </conditionalFormatting>
  <conditionalFormatting sqref="K24:DC24">
    <cfRule type="expression" dxfId="13" priority="23" stopIfTrue="1">
      <formula>AND($F24&lt;=K$5+6,$G24&gt;=K$5)</formula>
    </cfRule>
  </conditionalFormatting>
  <conditionalFormatting sqref="K26:DC26">
    <cfRule type="expression" dxfId="12" priority="25" stopIfTrue="1">
      <formula>AND($D26&lt;=K$5+6,$E26&gt;=K$5)</formula>
    </cfRule>
  </conditionalFormatting>
  <conditionalFormatting sqref="K26:DC27">
    <cfRule type="expression" dxfId="11" priority="27">
      <formula>AND(K$5&lt;=TODAY(),K$5+6&gt;=TODAY())</formula>
    </cfRule>
  </conditionalFormatting>
  <conditionalFormatting sqref="K27:DC27">
    <cfRule type="expression" dxfId="10" priority="26" stopIfTrue="1">
      <formula>AND($F27&lt;=K$5+6,$G27&gt;=K$5)</formula>
    </cfRule>
  </conditionalFormatting>
  <conditionalFormatting sqref="K28:DC28">
    <cfRule type="expression" dxfId="9" priority="28" stopIfTrue="1">
      <formula>AND($D28&lt;=K$5+6,$E28&gt;=K$5)</formula>
    </cfRule>
  </conditionalFormatting>
  <conditionalFormatting sqref="K28:DC29">
    <cfRule type="expression" dxfId="8" priority="30">
      <formula>AND(K$5&lt;=TODAY(),K$5+6&gt;=TODAY())</formula>
    </cfRule>
  </conditionalFormatting>
  <conditionalFormatting sqref="K29:DC29">
    <cfRule type="expression" dxfId="7" priority="29" stopIfTrue="1">
      <formula>AND($F29&lt;=K$5+6,$G29&gt;=K$5)</formula>
    </cfRule>
  </conditionalFormatting>
  <conditionalFormatting sqref="K30:DC30">
    <cfRule type="expression" dxfId="6" priority="31" stopIfTrue="1">
      <formula>AND($D30&lt;=K$5+6,$E30&gt;=K$5)</formula>
    </cfRule>
  </conditionalFormatting>
  <conditionalFormatting sqref="K30:DC31">
    <cfRule type="expression" dxfId="5" priority="33">
      <formula>AND(K$5&lt;=TODAY(),K$5+6&gt;=TODAY())</formula>
    </cfRule>
  </conditionalFormatting>
  <conditionalFormatting sqref="K31:DC31">
    <cfRule type="expression" dxfId="4" priority="32" stopIfTrue="1">
      <formula>AND($F31&lt;=K$5+6,$G31&gt;=K$5)</formula>
    </cfRule>
  </conditionalFormatting>
  <conditionalFormatting sqref="K33:DC33">
    <cfRule type="expression" dxfId="3" priority="34" stopIfTrue="1">
      <formula>AND($D33&lt;=K$5+6,$E33&gt;=K$5)</formula>
    </cfRule>
  </conditionalFormatting>
  <conditionalFormatting sqref="K33:DC34">
    <cfRule type="expression" dxfId="2" priority="36">
      <formula>AND(K$5&lt;=TODAY(),K$5+6&gt;=TODAY())</formula>
    </cfRule>
  </conditionalFormatting>
  <conditionalFormatting sqref="K34:DC34">
    <cfRule type="expression" dxfId="1" priority="35" stopIfTrue="1">
      <formula>AND($F34&lt;=K$5+6,$G34&gt;=K$5)</formula>
    </cfRule>
  </conditionalFormatting>
  <conditionalFormatting sqref="K35:DC35">
    <cfRule type="expression" dxfId="0" priority="37">
      <formula>AND(K$5&lt;=$D35,K$5+6&gt;=$D35)</formula>
    </cfRule>
  </conditionalFormatting>
  <dataValidations count="2">
    <dataValidation type="list" allowBlank="1" showInputMessage="1" showErrorMessage="1" errorTitle="Invalid status" error="Choose one of: Not started, In progress, Completed" promptTitle="Status" prompt="Select from the dropdown" sqref="C7 C10 C12 C14 C16 C19 C21 C23 C26 C28 C30 C33" xr:uid="{00000000-0002-0000-0100-000000000000}">
      <formula1>"Not started,In progress,Completed"</formula1>
    </dataValidation>
    <dataValidation type="date" allowBlank="1" showInputMessage="1" showErrorMessage="1" errorTitle="Invalid date" error="Pick a date between 2026 and 2030 (use the calendar picker)" promptTitle="Start / End date" prompt="Click to open the date picker" sqref="D7:E7 D10:E10 D12:E12 D14:E14 D16:E16 D19:E19 D21:E21 D23:E23 D26:E26 D28:E28 D30:E30 D33:E33 D35 F8:G8 F11:G11 F13:G13 F15:G15 F17:G17 F20:G20 F22:G22 F24:G24 F27:G27 F29:G29 F31:G31 F34:G34" xr:uid="{00000000-0002-0000-0100-000001000000}">
      <formula1>DATE(2026,1,1)</formula1>
      <formula2>DATE(2030,12,31)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 Timeline</vt:lpstr>
      <vt:lpstr>APM Plan &amp; FTE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Parinya Kamnoed</cp:lastModifiedBy>
  <dcterms:created xsi:type="dcterms:W3CDTF">2026-09-04T11:45:09Z</dcterms:created>
  <dcterms:modified xsi:type="dcterms:W3CDTF">2026-09-04T11:51:42Z</dcterms:modified>
</cp:coreProperties>
</file>